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b6fb2d240f53904/Desktop/"/>
    </mc:Choice>
  </mc:AlternateContent>
  <xr:revisionPtr revIDLastSave="4" documentId="8_{F88E1BAF-7B2F-41F1-8F7D-522ABD47E6ED}" xr6:coauthVersionLast="47" xr6:coauthVersionMax="47" xr10:uidLastSave="{235255B6-6BAE-493B-BB8A-EAF8757181C6}"/>
  <bookViews>
    <workbookView xWindow="-108" yWindow="-108" windowWidth="23256" windowHeight="12456" xr2:uid="{7A8CA3D3-170F-45F2-9342-C824ECC7701B}"/>
  </bookViews>
  <sheets>
    <sheet name="Inventory Sales data" sheetId="1" r:id="rId1"/>
    <sheet name="KPIs" sheetId="2" r:id="rId2"/>
    <sheet name="pivot table" sheetId="3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" i="1" l="1"/>
  <c r="O2" i="1"/>
  <c r="P2" i="1"/>
  <c r="L3" i="1"/>
  <c r="O3" i="1"/>
  <c r="P3" i="1"/>
  <c r="L4" i="1"/>
  <c r="O4" i="1"/>
  <c r="P4" i="1"/>
  <c r="L5" i="1"/>
  <c r="O5" i="1"/>
  <c r="P5" i="1"/>
  <c r="L6" i="1"/>
  <c r="O6" i="1"/>
  <c r="P6" i="1"/>
  <c r="L7" i="1"/>
  <c r="O7" i="1"/>
  <c r="P7" i="1"/>
  <c r="L8" i="1"/>
  <c r="O8" i="1"/>
  <c r="P8" i="1"/>
  <c r="L9" i="1"/>
  <c r="O9" i="1"/>
  <c r="P9" i="1"/>
  <c r="L10" i="1"/>
  <c r="O10" i="1"/>
  <c r="P10" i="1"/>
  <c r="L11" i="1"/>
  <c r="O11" i="1"/>
  <c r="P11" i="1"/>
  <c r="L12" i="1"/>
  <c r="O12" i="1"/>
  <c r="P12" i="1"/>
  <c r="L13" i="1"/>
  <c r="O13" i="1"/>
  <c r="P13" i="1"/>
  <c r="L14" i="1"/>
  <c r="O14" i="1"/>
  <c r="P14" i="1"/>
  <c r="L15" i="1"/>
  <c r="O15" i="1"/>
  <c r="P15" i="1"/>
  <c r="L16" i="1"/>
  <c r="O16" i="1"/>
  <c r="P16" i="1"/>
  <c r="L17" i="1"/>
  <c r="O17" i="1"/>
  <c r="P17" i="1"/>
  <c r="L18" i="1"/>
  <c r="O18" i="1"/>
  <c r="P18" i="1"/>
  <c r="L19" i="1"/>
  <c r="O19" i="1"/>
  <c r="P19" i="1"/>
  <c r="L20" i="1"/>
  <c r="O20" i="1"/>
  <c r="P20" i="1"/>
  <c r="L21" i="1"/>
  <c r="O21" i="1"/>
  <c r="P21" i="1"/>
  <c r="L22" i="1"/>
  <c r="O22" i="1"/>
  <c r="P22" i="1"/>
  <c r="L23" i="1"/>
  <c r="O23" i="1"/>
  <c r="P23" i="1"/>
  <c r="L24" i="1"/>
  <c r="O24" i="1"/>
  <c r="P24" i="1"/>
  <c r="L25" i="1"/>
  <c r="O25" i="1"/>
  <c r="P25" i="1"/>
  <c r="L26" i="1"/>
  <c r="O26" i="1"/>
  <c r="P26" i="1"/>
  <c r="L27" i="1"/>
  <c r="O27" i="1"/>
  <c r="P27" i="1"/>
  <c r="L28" i="1"/>
  <c r="O28" i="1"/>
  <c r="P28" i="1"/>
  <c r="L29" i="1"/>
  <c r="O29" i="1"/>
  <c r="P29" i="1"/>
  <c r="L30" i="1"/>
  <c r="O30" i="1"/>
  <c r="P30" i="1"/>
  <c r="L31" i="1"/>
  <c r="O31" i="1"/>
  <c r="P31" i="1"/>
  <c r="L32" i="1"/>
  <c r="O32" i="1"/>
  <c r="P32" i="1"/>
  <c r="L33" i="1"/>
  <c r="O33" i="1"/>
  <c r="P33" i="1"/>
  <c r="L34" i="1"/>
  <c r="O34" i="1"/>
  <c r="P34" i="1"/>
  <c r="L35" i="1"/>
  <c r="O35" i="1"/>
  <c r="P35" i="1"/>
  <c r="L36" i="1"/>
  <c r="O36" i="1"/>
  <c r="P36" i="1"/>
  <c r="L37" i="1"/>
  <c r="O37" i="1"/>
  <c r="P37" i="1"/>
  <c r="L38" i="1"/>
  <c r="O38" i="1"/>
  <c r="P38" i="1"/>
  <c r="L39" i="1"/>
  <c r="O39" i="1"/>
  <c r="P39" i="1"/>
  <c r="L40" i="1"/>
  <c r="O40" i="1"/>
  <c r="P40" i="1"/>
  <c r="L41" i="1"/>
  <c r="O41" i="1"/>
  <c r="P41" i="1"/>
  <c r="L42" i="1"/>
  <c r="O42" i="1"/>
  <c r="P42" i="1"/>
  <c r="L43" i="1"/>
  <c r="O43" i="1"/>
  <c r="P43" i="1"/>
  <c r="L44" i="1"/>
  <c r="O44" i="1"/>
  <c r="P44" i="1"/>
  <c r="L45" i="1"/>
  <c r="O45" i="1"/>
  <c r="P45" i="1"/>
  <c r="L46" i="1"/>
  <c r="O46" i="1"/>
  <c r="P46" i="1"/>
  <c r="L47" i="1"/>
  <c r="O47" i="1"/>
  <c r="P47" i="1"/>
  <c r="L48" i="1"/>
  <c r="O48" i="1"/>
  <c r="P48" i="1"/>
  <c r="L49" i="1"/>
  <c r="O49" i="1"/>
  <c r="P49" i="1"/>
  <c r="L50" i="1"/>
  <c r="O50" i="1"/>
  <c r="P50" i="1"/>
  <c r="L51" i="1"/>
  <c r="O51" i="1"/>
  <c r="P51" i="1"/>
  <c r="L52" i="1"/>
  <c r="O52" i="1"/>
  <c r="P52" i="1"/>
  <c r="L53" i="1"/>
  <c r="O53" i="1"/>
  <c r="P53" i="1"/>
  <c r="L54" i="1"/>
  <c r="O54" i="1"/>
  <c r="P54" i="1"/>
  <c r="L55" i="1"/>
  <c r="O55" i="1"/>
  <c r="P55" i="1"/>
  <c r="L56" i="1"/>
  <c r="O56" i="1"/>
  <c r="P56" i="1"/>
  <c r="L57" i="1"/>
  <c r="O57" i="1"/>
  <c r="P57" i="1"/>
  <c r="L58" i="1"/>
  <c r="O58" i="1"/>
  <c r="P58" i="1"/>
  <c r="L59" i="1"/>
  <c r="O59" i="1"/>
  <c r="P59" i="1"/>
  <c r="L60" i="1"/>
  <c r="O60" i="1"/>
  <c r="P60" i="1"/>
  <c r="L61" i="1"/>
  <c r="O61" i="1"/>
  <c r="P61" i="1"/>
  <c r="L62" i="1"/>
  <c r="O62" i="1"/>
  <c r="P62" i="1"/>
  <c r="L63" i="1"/>
  <c r="O63" i="1"/>
  <c r="P63" i="1"/>
  <c r="L64" i="1"/>
  <c r="O64" i="1"/>
  <c r="P64" i="1"/>
  <c r="L65" i="1"/>
  <c r="O65" i="1"/>
  <c r="P65" i="1"/>
  <c r="L66" i="1"/>
  <c r="O66" i="1"/>
  <c r="P66" i="1"/>
  <c r="L67" i="1"/>
  <c r="O67" i="1"/>
  <c r="P67" i="1"/>
  <c r="L68" i="1"/>
  <c r="O68" i="1"/>
  <c r="P68" i="1"/>
  <c r="L69" i="1"/>
  <c r="O69" i="1"/>
  <c r="P69" i="1"/>
  <c r="L70" i="1"/>
  <c r="O70" i="1"/>
  <c r="P70" i="1"/>
  <c r="L71" i="1"/>
  <c r="O71" i="1"/>
  <c r="P71" i="1"/>
  <c r="L72" i="1"/>
  <c r="O72" i="1"/>
  <c r="P72" i="1"/>
  <c r="L73" i="1"/>
  <c r="O73" i="1"/>
  <c r="P73" i="1"/>
  <c r="L74" i="1"/>
  <c r="O74" i="1"/>
  <c r="P74" i="1"/>
  <c r="L75" i="1"/>
  <c r="O75" i="1"/>
  <c r="P75" i="1"/>
  <c r="L76" i="1"/>
  <c r="O76" i="1"/>
  <c r="P76" i="1"/>
  <c r="L77" i="1"/>
  <c r="O77" i="1"/>
  <c r="P77" i="1"/>
  <c r="L78" i="1"/>
  <c r="O78" i="1"/>
  <c r="P78" i="1"/>
  <c r="L79" i="1"/>
  <c r="O79" i="1"/>
  <c r="P79" i="1"/>
  <c r="L80" i="1"/>
  <c r="O80" i="1"/>
  <c r="P80" i="1"/>
  <c r="L81" i="1"/>
  <c r="O81" i="1"/>
  <c r="P81" i="1"/>
  <c r="L82" i="1"/>
  <c r="O82" i="1"/>
  <c r="P82" i="1"/>
  <c r="L83" i="1"/>
  <c r="O83" i="1"/>
  <c r="P83" i="1"/>
  <c r="L84" i="1"/>
  <c r="O84" i="1"/>
  <c r="P84" i="1"/>
  <c r="L85" i="1"/>
  <c r="O85" i="1"/>
  <c r="P85" i="1"/>
  <c r="L86" i="1"/>
  <c r="O86" i="1"/>
  <c r="P86" i="1"/>
  <c r="L87" i="1"/>
  <c r="O87" i="1"/>
  <c r="P87" i="1"/>
  <c r="L88" i="1"/>
  <c r="O88" i="1"/>
  <c r="P88" i="1"/>
  <c r="L89" i="1"/>
  <c r="O89" i="1"/>
  <c r="P89" i="1"/>
  <c r="L90" i="1"/>
  <c r="O90" i="1"/>
  <c r="P90" i="1"/>
  <c r="L91" i="1"/>
  <c r="O91" i="1"/>
  <c r="P91" i="1"/>
  <c r="L92" i="1"/>
  <c r="O92" i="1"/>
  <c r="P92" i="1"/>
  <c r="L93" i="1"/>
  <c r="O93" i="1"/>
  <c r="P93" i="1"/>
  <c r="L94" i="1"/>
  <c r="O94" i="1"/>
  <c r="P94" i="1"/>
  <c r="L95" i="1"/>
  <c r="O95" i="1"/>
  <c r="P95" i="1"/>
  <c r="L96" i="1"/>
  <c r="O96" i="1"/>
  <c r="P96" i="1"/>
  <c r="L97" i="1"/>
  <c r="O97" i="1"/>
  <c r="P97" i="1"/>
  <c r="L98" i="1"/>
  <c r="O98" i="1"/>
  <c r="P98" i="1"/>
  <c r="L99" i="1"/>
  <c r="O99" i="1"/>
  <c r="P99" i="1"/>
  <c r="L100" i="1"/>
  <c r="O100" i="1"/>
  <c r="P100" i="1"/>
  <c r="L101" i="1"/>
  <c r="O101" i="1"/>
  <c r="P101" i="1"/>
  <c r="L102" i="1"/>
  <c r="O102" i="1"/>
  <c r="P102" i="1"/>
  <c r="L103" i="1"/>
  <c r="O103" i="1"/>
  <c r="P103" i="1"/>
  <c r="L104" i="1"/>
  <c r="O104" i="1"/>
  <c r="P104" i="1"/>
  <c r="L105" i="1"/>
  <c r="O105" i="1"/>
  <c r="P105" i="1"/>
  <c r="L106" i="1"/>
  <c r="O106" i="1"/>
  <c r="P106" i="1"/>
  <c r="L107" i="1"/>
  <c r="O107" i="1"/>
  <c r="P107" i="1"/>
  <c r="L108" i="1"/>
  <c r="O108" i="1"/>
  <c r="P108" i="1"/>
  <c r="L109" i="1"/>
  <c r="O109" i="1"/>
  <c r="P109" i="1"/>
  <c r="L110" i="1"/>
  <c r="O110" i="1"/>
  <c r="P110" i="1"/>
  <c r="L111" i="1"/>
  <c r="O111" i="1"/>
  <c r="P111" i="1"/>
  <c r="L112" i="1"/>
  <c r="O112" i="1"/>
  <c r="P112" i="1"/>
  <c r="L113" i="1"/>
  <c r="O113" i="1"/>
  <c r="P113" i="1"/>
  <c r="L114" i="1"/>
  <c r="O114" i="1"/>
  <c r="P114" i="1"/>
  <c r="L115" i="1"/>
  <c r="O115" i="1"/>
  <c r="P115" i="1"/>
  <c r="L116" i="1"/>
  <c r="O116" i="1"/>
  <c r="P116" i="1"/>
  <c r="L117" i="1"/>
  <c r="O117" i="1"/>
  <c r="P117" i="1"/>
  <c r="L118" i="1"/>
  <c r="O118" i="1"/>
  <c r="P118" i="1"/>
  <c r="L119" i="1"/>
  <c r="O119" i="1"/>
  <c r="P119" i="1"/>
  <c r="L120" i="1"/>
  <c r="O120" i="1"/>
  <c r="P120" i="1"/>
  <c r="L121" i="1"/>
  <c r="O121" i="1"/>
  <c r="P121" i="1"/>
  <c r="L122" i="1"/>
  <c r="O122" i="1"/>
  <c r="P122" i="1"/>
  <c r="L123" i="1"/>
  <c r="O123" i="1"/>
  <c r="P123" i="1"/>
  <c r="L124" i="1"/>
  <c r="O124" i="1"/>
  <c r="P124" i="1"/>
  <c r="L125" i="1"/>
  <c r="O125" i="1"/>
  <c r="P125" i="1"/>
  <c r="L126" i="1"/>
  <c r="O126" i="1"/>
  <c r="P126" i="1"/>
  <c r="L127" i="1"/>
  <c r="O127" i="1"/>
  <c r="P127" i="1"/>
  <c r="L128" i="1"/>
  <c r="O128" i="1"/>
  <c r="P128" i="1"/>
  <c r="L129" i="1"/>
  <c r="O129" i="1"/>
  <c r="P129" i="1"/>
  <c r="L130" i="1"/>
  <c r="O130" i="1"/>
  <c r="P130" i="1"/>
  <c r="L131" i="1"/>
  <c r="O131" i="1"/>
  <c r="P131" i="1"/>
  <c r="L132" i="1"/>
  <c r="O132" i="1"/>
  <c r="P132" i="1"/>
  <c r="L133" i="1"/>
  <c r="O133" i="1"/>
  <c r="P133" i="1"/>
  <c r="L134" i="1"/>
  <c r="O134" i="1"/>
  <c r="P134" i="1"/>
  <c r="L135" i="1"/>
  <c r="O135" i="1"/>
  <c r="P135" i="1"/>
  <c r="L136" i="1"/>
  <c r="O136" i="1"/>
  <c r="P136" i="1"/>
  <c r="L137" i="1"/>
  <c r="O137" i="1"/>
  <c r="P137" i="1"/>
  <c r="L138" i="1"/>
  <c r="O138" i="1"/>
  <c r="P138" i="1"/>
  <c r="L139" i="1"/>
  <c r="O139" i="1"/>
  <c r="P139" i="1"/>
  <c r="L140" i="1"/>
  <c r="O140" i="1"/>
  <c r="P140" i="1"/>
  <c r="L141" i="1"/>
  <c r="O141" i="1"/>
  <c r="P141" i="1"/>
  <c r="L142" i="1"/>
  <c r="O142" i="1"/>
  <c r="P142" i="1"/>
  <c r="L143" i="1"/>
  <c r="O143" i="1"/>
  <c r="P143" i="1"/>
  <c r="L144" i="1"/>
  <c r="O144" i="1"/>
  <c r="P144" i="1"/>
  <c r="L145" i="1"/>
  <c r="O145" i="1"/>
  <c r="P145" i="1"/>
  <c r="L146" i="1"/>
  <c r="O146" i="1"/>
  <c r="P146" i="1"/>
  <c r="L147" i="1"/>
  <c r="O147" i="1"/>
  <c r="P147" i="1"/>
  <c r="L148" i="1"/>
  <c r="O148" i="1"/>
  <c r="P148" i="1"/>
  <c r="L149" i="1"/>
  <c r="O149" i="1"/>
  <c r="P149" i="1"/>
  <c r="L150" i="1"/>
  <c r="O150" i="1"/>
  <c r="P150" i="1"/>
  <c r="L151" i="1"/>
  <c r="O151" i="1"/>
  <c r="P151" i="1"/>
  <c r="L152" i="1"/>
  <c r="O152" i="1"/>
  <c r="P152" i="1"/>
  <c r="L153" i="1"/>
  <c r="O153" i="1"/>
  <c r="P153" i="1"/>
  <c r="L154" i="1"/>
  <c r="O154" i="1"/>
  <c r="P154" i="1"/>
  <c r="L155" i="1"/>
  <c r="O155" i="1"/>
  <c r="P155" i="1"/>
  <c r="L156" i="1"/>
  <c r="O156" i="1"/>
  <c r="P156" i="1"/>
  <c r="L157" i="1"/>
  <c r="O157" i="1"/>
  <c r="P157" i="1"/>
  <c r="L158" i="1"/>
  <c r="O158" i="1"/>
  <c r="P158" i="1"/>
  <c r="L159" i="1"/>
  <c r="O159" i="1"/>
  <c r="P159" i="1"/>
  <c r="L160" i="1"/>
  <c r="O160" i="1"/>
  <c r="P160" i="1"/>
  <c r="L161" i="1"/>
  <c r="O161" i="1"/>
  <c r="P161" i="1"/>
  <c r="L162" i="1"/>
  <c r="O162" i="1"/>
  <c r="P162" i="1"/>
  <c r="L163" i="1"/>
  <c r="O163" i="1"/>
  <c r="P163" i="1"/>
  <c r="L164" i="1"/>
  <c r="O164" i="1"/>
  <c r="P164" i="1"/>
  <c r="L165" i="1"/>
  <c r="O165" i="1"/>
  <c r="P165" i="1"/>
  <c r="L166" i="1"/>
  <c r="O166" i="1"/>
  <c r="P166" i="1"/>
  <c r="L167" i="1"/>
  <c r="O167" i="1"/>
  <c r="P167" i="1"/>
  <c r="L168" i="1"/>
  <c r="O168" i="1"/>
  <c r="P168" i="1"/>
  <c r="L169" i="1"/>
  <c r="O169" i="1"/>
  <c r="P169" i="1"/>
  <c r="L170" i="1"/>
  <c r="O170" i="1"/>
  <c r="P170" i="1"/>
  <c r="L171" i="1"/>
  <c r="O171" i="1"/>
  <c r="P171" i="1"/>
  <c r="L172" i="1"/>
  <c r="O172" i="1"/>
  <c r="P172" i="1"/>
  <c r="L173" i="1"/>
  <c r="O173" i="1"/>
  <c r="P173" i="1"/>
  <c r="L174" i="1"/>
  <c r="O174" i="1"/>
  <c r="P174" i="1"/>
  <c r="L175" i="1"/>
  <c r="O175" i="1"/>
  <c r="P175" i="1"/>
  <c r="L176" i="1"/>
  <c r="O176" i="1"/>
  <c r="P176" i="1"/>
  <c r="L177" i="1"/>
  <c r="O177" i="1"/>
  <c r="P177" i="1"/>
  <c r="L178" i="1"/>
  <c r="O178" i="1"/>
  <c r="P178" i="1"/>
  <c r="L179" i="1"/>
  <c r="O179" i="1"/>
  <c r="P179" i="1"/>
  <c r="L180" i="1"/>
  <c r="O180" i="1"/>
  <c r="P180" i="1"/>
  <c r="L181" i="1"/>
  <c r="O181" i="1"/>
  <c r="P181" i="1"/>
  <c r="L182" i="1"/>
  <c r="O182" i="1"/>
  <c r="P182" i="1"/>
  <c r="L183" i="1"/>
  <c r="O183" i="1"/>
  <c r="P183" i="1"/>
  <c r="B6" i="2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B3" i="2" s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B4" i="2" s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B2" i="2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B5" i="2" l="1"/>
  <c r="B7" i="2" s="1"/>
</calcChain>
</file>

<file path=xl/sharedStrings.xml><?xml version="1.0" encoding="utf-8"?>
<sst xmlns="http://schemas.openxmlformats.org/spreadsheetml/2006/main" count="5099" uniqueCount="2487">
  <si>
    <t>Product_ID</t>
  </si>
  <si>
    <t>Product_Name</t>
  </si>
  <si>
    <t>Catagory</t>
  </si>
  <si>
    <t>Supplier_Name</t>
  </si>
  <si>
    <t>Stock_Quantity</t>
  </si>
  <si>
    <t>Reorder_Level</t>
  </si>
  <si>
    <t>Reorder_Quantity</t>
  </si>
  <si>
    <t>Unit_Price</t>
  </si>
  <si>
    <t>Warehouse_Location</t>
  </si>
  <si>
    <t>Sales_Volume</t>
  </si>
  <si>
    <t>Inventory_Turnover_Rate</t>
  </si>
  <si>
    <t>29-205-1132</t>
  </si>
  <si>
    <t>Sushi Rice</t>
  </si>
  <si>
    <t>Grains &amp; Pulses</t>
  </si>
  <si>
    <t>Jaxnation</t>
  </si>
  <si>
    <t>48 Del Sol Trail</t>
  </si>
  <si>
    <t>40-681-9981</t>
  </si>
  <si>
    <t>Arabica Coffee</t>
  </si>
  <si>
    <t>Beverages</t>
  </si>
  <si>
    <t>Feedmix</t>
  </si>
  <si>
    <t>36 3rd Place</t>
  </si>
  <si>
    <t>06-955-3428</t>
  </si>
  <si>
    <t>Black Rice</t>
  </si>
  <si>
    <t>Vinder</t>
  </si>
  <si>
    <t>3296 Walton Court</t>
  </si>
  <si>
    <t>71-594-6552</t>
  </si>
  <si>
    <t>Long Grain Rice</t>
  </si>
  <si>
    <t>Brightbean</t>
  </si>
  <si>
    <t>3 Westerfield Crossing</t>
  </si>
  <si>
    <t>57-437-1828</t>
  </si>
  <si>
    <t>Plum</t>
  </si>
  <si>
    <t>Fruits &amp; Vegetables</t>
  </si>
  <si>
    <t>Topicstorm</t>
  </si>
  <si>
    <t>15068 Scoville Court</t>
  </si>
  <si>
    <t>21-120-6238</t>
  </si>
  <si>
    <t>All-Purpose Flour</t>
  </si>
  <si>
    <t>Dabjam</t>
  </si>
  <si>
    <t>050 Mcbride Avenue</t>
  </si>
  <si>
    <t>71-516-1996</t>
  </si>
  <si>
    <t>Corn Oil</t>
  </si>
  <si>
    <t>Oils &amp; Fats</t>
  </si>
  <si>
    <t>Tagfeed</t>
  </si>
  <si>
    <t>12 Truax Court</t>
  </si>
  <si>
    <t>39-629-5554</t>
  </si>
  <si>
    <t>Egg (Goose)</t>
  </si>
  <si>
    <t>Dairy</t>
  </si>
  <si>
    <t>Muxo</t>
  </si>
  <si>
    <t>267 International Plaza</t>
  </si>
  <si>
    <t>66-268-8345</t>
  </si>
  <si>
    <t>Greek Yogurt</t>
  </si>
  <si>
    <t>Thoughtstorm</t>
  </si>
  <si>
    <t>550 Clemons Plaza</t>
  </si>
  <si>
    <t>46-452-9419</t>
  </si>
  <si>
    <t>Egg (Duck)</t>
  </si>
  <si>
    <t>Wordify</t>
  </si>
  <si>
    <t>55782 Welch Hill</t>
  </si>
  <si>
    <t>51-469-4611</t>
  </si>
  <si>
    <t>Fivebridge</t>
  </si>
  <si>
    <t>04776 Saint Paul Park</t>
  </si>
  <si>
    <t>42-220-9305</t>
  </si>
  <si>
    <t>White Sugar</t>
  </si>
  <si>
    <t>Zooxo</t>
  </si>
  <si>
    <t>61932 Cascade Crossing</t>
  </si>
  <si>
    <t>75-094-1179</t>
  </si>
  <si>
    <t>Rye Bread</t>
  </si>
  <si>
    <t>Bakery</t>
  </si>
  <si>
    <t>Vitz</t>
  </si>
  <si>
    <t>13 Forest Run Place</t>
  </si>
  <si>
    <t>11-073-0189</t>
  </si>
  <si>
    <t>Voomm</t>
  </si>
  <si>
    <t>5104 Jana Court</t>
  </si>
  <si>
    <t>22-621-2774</t>
  </si>
  <si>
    <t>Strawberries</t>
  </si>
  <si>
    <t>Babblestorm</t>
  </si>
  <si>
    <t>00 Drewry Court</t>
  </si>
  <si>
    <t>39-449-0772</t>
  </si>
  <si>
    <t>Feta Cheese</t>
  </si>
  <si>
    <t>Youfeed</t>
  </si>
  <si>
    <t>195 Portage Junction</t>
  </si>
  <si>
    <t>55-936-2406</t>
  </si>
  <si>
    <t>Bread Flour</t>
  </si>
  <si>
    <t>Mynte</t>
  </si>
  <si>
    <t>52691 8th Drive</t>
  </si>
  <si>
    <t>82-041-7211</t>
  </si>
  <si>
    <t>Swiss Cheese</t>
  </si>
  <si>
    <t>Reallinks</t>
  </si>
  <si>
    <t>285 1st Park</t>
  </si>
  <si>
    <t>48-414-6162</t>
  </si>
  <si>
    <t>Skivee</t>
  </si>
  <si>
    <t>17780 Lindbergh Junction</t>
  </si>
  <si>
    <t>76-854-0095</t>
  </si>
  <si>
    <t>Mydeo</t>
  </si>
  <si>
    <t>7834 Cordelia Alley</t>
  </si>
  <si>
    <t>25-349-7974</t>
  </si>
  <si>
    <t>Spinach</t>
  </si>
  <si>
    <t>Devshare</t>
  </si>
  <si>
    <t>42 Bunker Hill Junction</t>
  </si>
  <si>
    <t>66-627-9752</t>
  </si>
  <si>
    <t>Trout</t>
  </si>
  <si>
    <t>Seafood</t>
  </si>
  <si>
    <t>Jabbertype</t>
  </si>
  <si>
    <t>08 Randy Junction</t>
  </si>
  <si>
    <t>78-614-4402</t>
  </si>
  <si>
    <t>Green Beans</t>
  </si>
  <si>
    <t>Gigazoom</t>
  </si>
  <si>
    <t>37 Browning Trail</t>
  </si>
  <si>
    <t>67-025-1245</t>
  </si>
  <si>
    <t>Cabbage</t>
  </si>
  <si>
    <t>Chatterbridge</t>
  </si>
  <si>
    <t>51890 Lindbergh Terrace</t>
  </si>
  <si>
    <t>68-418-6724</t>
  </si>
  <si>
    <t>Parmesan Cheese</t>
  </si>
  <si>
    <t>Feedspan</t>
  </si>
  <si>
    <t>49869 Bunker Hill Terrace</t>
  </si>
  <si>
    <t>40-795-0753</t>
  </si>
  <si>
    <t>Raw Sugar</t>
  </si>
  <si>
    <t>Mydo</t>
  </si>
  <si>
    <t>66879 Susan Place</t>
  </si>
  <si>
    <t>02-508-3777</t>
  </si>
  <si>
    <t>Egg (Quail)</t>
  </si>
  <si>
    <t>Realpoint</t>
  </si>
  <si>
    <t>895 Northland Hill</t>
  </si>
  <si>
    <t>79-741-0770</t>
  </si>
  <si>
    <t>Mushrooms</t>
  </si>
  <si>
    <t>Photospace</t>
  </si>
  <si>
    <t>91 Kinsman Terrace</t>
  </si>
  <si>
    <t>31-211-5803</t>
  </si>
  <si>
    <t>Oatmeal Biscuit</t>
  </si>
  <si>
    <t>492 Shoshone Road</t>
  </si>
  <si>
    <t>16-499-5059</t>
  </si>
  <si>
    <t>Pear</t>
  </si>
  <si>
    <t>Centizu</t>
  </si>
  <si>
    <t>3 Hooker Way</t>
  </si>
  <si>
    <t>76-340-4432</t>
  </si>
  <si>
    <t>Cucumber</t>
  </si>
  <si>
    <t>Brainverse</t>
  </si>
  <si>
    <t>157 David Center</t>
  </si>
  <si>
    <t>38-732-7667</t>
  </si>
  <si>
    <t>Pineapple</t>
  </si>
  <si>
    <t>Photojam</t>
  </si>
  <si>
    <t>3645 Ridge Oak Drive</t>
  </si>
  <si>
    <t>04-240-2226</t>
  </si>
  <si>
    <t>Olive Oil</t>
  </si>
  <si>
    <t>Kamba</t>
  </si>
  <si>
    <t>504 Green Park</t>
  </si>
  <si>
    <t>79-136-9840</t>
  </si>
  <si>
    <t>Herbal Tea</t>
  </si>
  <si>
    <t>Pixonyx</t>
  </si>
  <si>
    <t>26175 Oxford Way</t>
  </si>
  <si>
    <t>73-401-5721</t>
  </si>
  <si>
    <t>Haddock</t>
  </si>
  <si>
    <t>Midel</t>
  </si>
  <si>
    <t>582 Sauthoff Crossing</t>
  </si>
  <si>
    <t>91-848-0606</t>
  </si>
  <si>
    <t>Onion</t>
  </si>
  <si>
    <t>Skyble</t>
  </si>
  <si>
    <t>13 Corscot Hill</t>
  </si>
  <si>
    <t>54-109-8062</t>
  </si>
  <si>
    <t>Linklinks</t>
  </si>
  <si>
    <t>67 Little Fleur Road</t>
  </si>
  <si>
    <t>70-612-2531</t>
  </si>
  <si>
    <t>Flipbug</t>
  </si>
  <si>
    <t>4 Raven Drive</t>
  </si>
  <si>
    <t>26-161-6692</t>
  </si>
  <si>
    <t>Zucchini</t>
  </si>
  <si>
    <t>Kare</t>
  </si>
  <si>
    <t>70001 Vahlen Lane</t>
  </si>
  <si>
    <t>43-893-5408</t>
  </si>
  <si>
    <t>Short Grain Rice</t>
  </si>
  <si>
    <t>Snaptags</t>
  </si>
  <si>
    <t>6 Orin Place</t>
  </si>
  <si>
    <t>11-316-8405</t>
  </si>
  <si>
    <t>Mango</t>
  </si>
  <si>
    <t>Twitternation</t>
  </si>
  <si>
    <t>108 Morning Center</t>
  </si>
  <si>
    <t>34-086-3222</t>
  </si>
  <si>
    <t>Lemon</t>
  </si>
  <si>
    <t>Layo</t>
  </si>
  <si>
    <t>867 Merrick Place</t>
  </si>
  <si>
    <t>21-816-1004</t>
  </si>
  <si>
    <t>Black Coffee</t>
  </si>
  <si>
    <t>564 Hazelcrest Crossing</t>
  </si>
  <si>
    <t>43-693-2092</t>
  </si>
  <si>
    <t>Butter</t>
  </si>
  <si>
    <t>Kayveo</t>
  </si>
  <si>
    <t>76 Toban Plaza</t>
  </si>
  <si>
    <t>63-270-7076</t>
  </si>
  <si>
    <t>Multigrain Bread</t>
  </si>
  <si>
    <t>Roombo</t>
  </si>
  <si>
    <t>6 Lunder Parkway</t>
  </si>
  <si>
    <t>90-230-9767</t>
  </si>
  <si>
    <t>Voonyx</t>
  </si>
  <si>
    <t>00397 Bay Terrace</t>
  </si>
  <si>
    <t>05-334-2923</t>
  </si>
  <si>
    <t>Browsezoom</t>
  </si>
  <si>
    <t>8 Surrey Pass</t>
  </si>
  <si>
    <t>52-481-5224</t>
  </si>
  <si>
    <t>Kiwi</t>
  </si>
  <si>
    <t>Fiveclub</t>
  </si>
  <si>
    <t>80 Old Shore Plaza</t>
  </si>
  <si>
    <t>11-325-7396</t>
  </si>
  <si>
    <t>Skipfire</t>
  </si>
  <si>
    <t>387 Jay Point</t>
  </si>
  <si>
    <t>70-854-6891</t>
  </si>
  <si>
    <t>Sourdough Bread</t>
  </si>
  <si>
    <t>Flashspan</t>
  </si>
  <si>
    <t>24045 Bluestem Point</t>
  </si>
  <si>
    <t>46-520-1819</t>
  </si>
  <si>
    <t>Katz</t>
  </si>
  <si>
    <t>805 Nancy Crossing</t>
  </si>
  <si>
    <t>91-105-7317</t>
  </si>
  <si>
    <t>Orange</t>
  </si>
  <si>
    <t>44022 Barnett Way</t>
  </si>
  <si>
    <t>40-751-8635</t>
  </si>
  <si>
    <t>Yamia</t>
  </si>
  <si>
    <t>3 Ronald Regan Center</t>
  </si>
  <si>
    <t>02-920-4829</t>
  </si>
  <si>
    <t>White Bread</t>
  </si>
  <si>
    <t>4 Judy Hill</t>
  </si>
  <si>
    <t>36-918-2937</t>
  </si>
  <si>
    <t>Green Coffee</t>
  </si>
  <si>
    <t>Kwinu</t>
  </si>
  <si>
    <t>90865 Sherman Court</t>
  </si>
  <si>
    <t>68-761-6907</t>
  </si>
  <si>
    <t>9695 Alpine Trail</t>
  </si>
  <si>
    <t>69-468-5468</t>
  </si>
  <si>
    <t>Vinte</t>
  </si>
  <si>
    <t>72083 Acker Crossing</t>
  </si>
  <si>
    <t>27-635-8394</t>
  </si>
  <si>
    <t>Twitterwire</t>
  </si>
  <si>
    <t>812 Shelley Circle</t>
  </si>
  <si>
    <t>41-729-5410</t>
  </si>
  <si>
    <t>Sardines</t>
  </si>
  <si>
    <t>Ntag</t>
  </si>
  <si>
    <t>7193 Crownhardt Drive</t>
  </si>
  <si>
    <t>33-335-9140</t>
  </si>
  <si>
    <t>Blogspan</t>
  </si>
  <si>
    <t>76928 Tennyson Parkway</t>
  </si>
  <si>
    <t>11-581-9869</t>
  </si>
  <si>
    <t>Carrot</t>
  </si>
  <si>
    <t>Avaveo</t>
  </si>
  <si>
    <t>44801 Myrtle Center</t>
  </si>
  <si>
    <t>78-237-0277</t>
  </si>
  <si>
    <t>Black Tea</t>
  </si>
  <si>
    <t>Brainbox</t>
  </si>
  <si>
    <t>79 Cardinal Court</t>
  </si>
  <si>
    <t>75-152-8731</t>
  </si>
  <si>
    <t>Voonix</t>
  </si>
  <si>
    <t>622 Anthes Lane</t>
  </si>
  <si>
    <t>65-718-0492</t>
  </si>
  <si>
    <t>8626 Chinook Parkway</t>
  </si>
  <si>
    <t>55-697-5242</t>
  </si>
  <si>
    <t>Ricotta Cheese</t>
  </si>
  <si>
    <t>Shufflebeat</t>
  </si>
  <si>
    <t>19112 Little Fleur Road</t>
  </si>
  <si>
    <t>14-844-4138</t>
  </si>
  <si>
    <t>40643 Sullivan Lane</t>
  </si>
  <si>
    <t>20-225-3930</t>
  </si>
  <si>
    <t>White Tea</t>
  </si>
  <si>
    <t>Skipstorm</t>
  </si>
  <si>
    <t>5756 Stephen Avenue</t>
  </si>
  <si>
    <t>66-993-4234</t>
  </si>
  <si>
    <t>22 Dexter Trail</t>
  </si>
  <si>
    <t>87-762-1317</t>
  </si>
  <si>
    <t>Mozzarella Cheese</t>
  </si>
  <si>
    <t>Dazzlesphere</t>
  </si>
  <si>
    <t>9305 Warrior Way</t>
  </si>
  <si>
    <t>81-844-2979</t>
  </si>
  <si>
    <t>Broccoli</t>
  </si>
  <si>
    <t>Realblab</t>
  </si>
  <si>
    <t>16 Elgar Point</t>
  </si>
  <si>
    <t>44-408-7594</t>
  </si>
  <si>
    <t>Eggplant</t>
  </si>
  <si>
    <t>Eire</t>
  </si>
  <si>
    <t>81 Oneill Circle</t>
  </si>
  <si>
    <t>26-010-9519</t>
  </si>
  <si>
    <t>Blogtag</t>
  </si>
  <si>
    <t>4508 Shopko Trail</t>
  </si>
  <si>
    <t>65-464-5070</t>
  </si>
  <si>
    <t>Heavy Cream</t>
  </si>
  <si>
    <t>Ntags</t>
  </si>
  <si>
    <t>00 Luster Alley</t>
  </si>
  <si>
    <t>07-970-9352</t>
  </si>
  <si>
    <t>Bell Pepper</t>
  </si>
  <si>
    <t>Tagtune</t>
  </si>
  <si>
    <t>459 Gateway Pass</t>
  </si>
  <si>
    <t>88-746-9468</t>
  </si>
  <si>
    <t>Skiba</t>
  </si>
  <si>
    <t>82737 Ryan Place</t>
  </si>
  <si>
    <t>06-336-5482</t>
  </si>
  <si>
    <t>Voolia</t>
  </si>
  <si>
    <t>7 Mockingbird Hill</t>
  </si>
  <si>
    <t>03-276-3931</t>
  </si>
  <si>
    <t>Oyoloo</t>
  </si>
  <si>
    <t>081 Bellgrove Place</t>
  </si>
  <si>
    <t>39-232-5341</t>
  </si>
  <si>
    <t>Arborio Rice</t>
  </si>
  <si>
    <t>05433 Towne Terrace</t>
  </si>
  <si>
    <t>12-239-9399</t>
  </si>
  <si>
    <t>Potato</t>
  </si>
  <si>
    <t>924 La Follette Alley</t>
  </si>
  <si>
    <t>75-080-4909</t>
  </si>
  <si>
    <t>Tagopia</t>
  </si>
  <si>
    <t>7 Gateway Center</t>
  </si>
  <si>
    <t>70-815-4015</t>
  </si>
  <si>
    <t>Butter Biscuit</t>
  </si>
  <si>
    <t>Ozu</t>
  </si>
  <si>
    <t>175 Sycamore Circle</t>
  </si>
  <si>
    <t>11-032-9778</t>
  </si>
  <si>
    <t>Peas</t>
  </si>
  <si>
    <t>Edgepulse</t>
  </si>
  <si>
    <t>553 Mayfield Crossing</t>
  </si>
  <si>
    <t>54-374-9986</t>
  </si>
  <si>
    <t>Cream</t>
  </si>
  <si>
    <t>Oyondu</t>
  </si>
  <si>
    <t>74997 Katie Terrace</t>
  </si>
  <si>
    <t>77-312-6317</t>
  </si>
  <si>
    <t>Abatz</t>
  </si>
  <si>
    <t>3616 Carey Pass</t>
  </si>
  <si>
    <t>13-844-2178</t>
  </si>
  <si>
    <t>Browsetype</t>
  </si>
  <si>
    <t>86207 Tennyson Parkway</t>
  </si>
  <si>
    <t>22-141-9798</t>
  </si>
  <si>
    <t>Photobean</t>
  </si>
  <si>
    <t>6 Nobel Junction</t>
  </si>
  <si>
    <t>20-022-3173</t>
  </si>
  <si>
    <t>81878 Nobel Point</t>
  </si>
  <si>
    <t>26-177-5690</t>
  </si>
  <si>
    <t>Skinte</t>
  </si>
  <si>
    <t>61707 Mariners Cove Park</t>
  </si>
  <si>
    <t>70-871-4536</t>
  </si>
  <si>
    <t>Cogilith</t>
  </si>
  <si>
    <t>5 Waxwing Junction</t>
  </si>
  <si>
    <t>06-611-5454</t>
  </si>
  <si>
    <t>Peanut Oil</t>
  </si>
  <si>
    <t>Bluezoom</t>
  </si>
  <si>
    <t>16 Autumn Leaf Way</t>
  </si>
  <si>
    <t>89-543-3456</t>
  </si>
  <si>
    <t>Blueberries</t>
  </si>
  <si>
    <t>Jaloo</t>
  </si>
  <si>
    <t>22782 Oriole Way</t>
  </si>
  <si>
    <t>82-395-5070</t>
  </si>
  <si>
    <t>Chocolate Biscuit</t>
  </si>
  <si>
    <t>Vidoo</t>
  </si>
  <si>
    <t>43442 Homewood Street</t>
  </si>
  <si>
    <t>14-305-5348</t>
  </si>
  <si>
    <t>Cheese</t>
  </si>
  <si>
    <t>Shuffledrive</t>
  </si>
  <si>
    <t>19 Shoshone Circle</t>
  </si>
  <si>
    <t>82-243-3180</t>
  </si>
  <si>
    <t>Palm Oil</t>
  </si>
  <si>
    <t>97 Sunnyside Court</t>
  </si>
  <si>
    <t>25-010-9478</t>
  </si>
  <si>
    <t>Topicblab</t>
  </si>
  <si>
    <t>357 Maple Park</t>
  </si>
  <si>
    <t>13-202-4809</t>
  </si>
  <si>
    <t>Garlic</t>
  </si>
  <si>
    <t>6195 Monterey Center</t>
  </si>
  <si>
    <t>67-270-7464</t>
  </si>
  <si>
    <t>Jasmine Rice</t>
  </si>
  <si>
    <t>Yadel</t>
  </si>
  <si>
    <t>7242 Claremont Avenue</t>
  </si>
  <si>
    <t>11-733-1756</t>
  </si>
  <si>
    <t>Rice Flour</t>
  </si>
  <si>
    <t>127 Eliot Road</t>
  </si>
  <si>
    <t>80-988-4653</t>
  </si>
  <si>
    <t>Livetube</t>
  </si>
  <si>
    <t>8 Russell Pass</t>
  </si>
  <si>
    <t>60-343-7973</t>
  </si>
  <si>
    <t>Zoombox</t>
  </si>
  <si>
    <t>85408 Toban Crossing</t>
  </si>
  <si>
    <t>34-861-4446</t>
  </si>
  <si>
    <t>Photobug</t>
  </si>
  <si>
    <t>113 Donald Court</t>
  </si>
  <si>
    <t>67-710-5120</t>
  </si>
  <si>
    <t>Skynoodle</t>
  </si>
  <si>
    <t>978 Shasta Lane</t>
  </si>
  <si>
    <t>49-891-4927</t>
  </si>
  <si>
    <t>Cottage Cheese</t>
  </si>
  <si>
    <t>46 Hoffman Trail</t>
  </si>
  <si>
    <t>55-522-8242</t>
  </si>
  <si>
    <t>Whipped Cream</t>
  </si>
  <si>
    <t>Feedbug</t>
  </si>
  <si>
    <t>7 Spohn Avenue</t>
  </si>
  <si>
    <t>62-509-0666</t>
  </si>
  <si>
    <t>Almond Flour</t>
  </si>
  <si>
    <t>1468 Meadow Vale Court</t>
  </si>
  <si>
    <t>64-478-4745</t>
  </si>
  <si>
    <t>208 Miller Court</t>
  </si>
  <si>
    <t>35-835-5591</t>
  </si>
  <si>
    <t>Tilapia</t>
  </si>
  <si>
    <t>509 Carpenter Trail</t>
  </si>
  <si>
    <t>26-690-3784</t>
  </si>
  <si>
    <t>Lettuce</t>
  </si>
  <si>
    <t>Fadeo</t>
  </si>
  <si>
    <t>19069 Cordelia Drive</t>
  </si>
  <si>
    <t>67-546-1568</t>
  </si>
  <si>
    <t>Edgeify</t>
  </si>
  <si>
    <t>203 Mariners Cove Junction</t>
  </si>
  <si>
    <t>67-625-9704</t>
  </si>
  <si>
    <t>Eayo</t>
  </si>
  <si>
    <t>7819 Fallview Park</t>
  </si>
  <si>
    <t>31-969-4614</t>
  </si>
  <si>
    <t>993 Kensington Drive</t>
  </si>
  <si>
    <t>50-364-5828</t>
  </si>
  <si>
    <t>Coconut</t>
  </si>
  <si>
    <t>772 Golf Course Junction</t>
  </si>
  <si>
    <t>61-827-4098</t>
  </si>
  <si>
    <t>Cod</t>
  </si>
  <si>
    <t>Devbug</t>
  </si>
  <si>
    <t>29992 Warrior Center</t>
  </si>
  <si>
    <t>87-698-0944</t>
  </si>
  <si>
    <t>Banana</t>
  </si>
  <si>
    <t>8 Heffernan Point</t>
  </si>
  <si>
    <t>36-636-4873</t>
  </si>
  <si>
    <t>Wikivu</t>
  </si>
  <si>
    <t>451 Grim Hill</t>
  </si>
  <si>
    <t>98-556-5323</t>
  </si>
  <si>
    <t>Pomegranate</t>
  </si>
  <si>
    <t>Dynabox</t>
  </si>
  <si>
    <t>005 Tomscot Hill</t>
  </si>
  <si>
    <t>97-772-2336</t>
  </si>
  <si>
    <t>Rooxo</t>
  </si>
  <si>
    <t>9 Bartillon Trail</t>
  </si>
  <si>
    <t>19-047-4239</t>
  </si>
  <si>
    <t>Peach</t>
  </si>
  <si>
    <t>Quire</t>
  </si>
  <si>
    <t>7 West Street</t>
  </si>
  <si>
    <t>41-316-8427</t>
  </si>
  <si>
    <t>Realcube</t>
  </si>
  <si>
    <t>03416 Valley Edge Circle</t>
  </si>
  <si>
    <t>15-907-3681</t>
  </si>
  <si>
    <t>Brainsphere</t>
  </si>
  <si>
    <t>21633 Sycamore Center</t>
  </si>
  <si>
    <t>14-305-9690</t>
  </si>
  <si>
    <t>Dabshots</t>
  </si>
  <si>
    <t>43107 Schlimgen Circle</t>
  </si>
  <si>
    <t>40-860-4532</t>
  </si>
  <si>
    <t>988 Southridge Way</t>
  </si>
  <si>
    <t>44-552-3909</t>
  </si>
  <si>
    <t>Riffwire</t>
  </si>
  <si>
    <t>6 Charing Cross Circle</t>
  </si>
  <si>
    <t>75-029-9003</t>
  </si>
  <si>
    <t>Eadel</t>
  </si>
  <si>
    <t>19180 Hagan Parkway</t>
  </si>
  <si>
    <t>74-587-2065</t>
  </si>
  <si>
    <t>Gigaclub</t>
  </si>
  <si>
    <t>84642 Clarendon Point</t>
  </si>
  <si>
    <t>70-149-6756</t>
  </si>
  <si>
    <t>6 Messerschmidt Place</t>
  </si>
  <si>
    <t>29-896-7926</t>
  </si>
  <si>
    <t>White Rice</t>
  </si>
  <si>
    <t>Centidel</t>
  </si>
  <si>
    <t>80930 Briar Crest Point</t>
  </si>
  <si>
    <t>54-822-9009</t>
  </si>
  <si>
    <t>Cauliflower</t>
  </si>
  <si>
    <t>Shufflester</t>
  </si>
  <si>
    <t>64389 Arkansas Alley</t>
  </si>
  <si>
    <t>84-075-7647</t>
  </si>
  <si>
    <t>Canola Oil</t>
  </si>
  <si>
    <t>51 7th Court</t>
  </si>
  <si>
    <t>88-602-8210</t>
  </si>
  <si>
    <t>Avocado Oil</t>
  </si>
  <si>
    <t>Skajo</t>
  </si>
  <si>
    <t>042 Di Loreto Court</t>
  </si>
  <si>
    <t>04-542-3863</t>
  </si>
  <si>
    <t>Eidel</t>
  </si>
  <si>
    <t>403 Loomis Way</t>
  </si>
  <si>
    <t>57-613-5779</t>
  </si>
  <si>
    <t>Gouda Cheese</t>
  </si>
  <si>
    <t>Thoughtblab</t>
  </si>
  <si>
    <t>6 John Wall Plaza</t>
  </si>
  <si>
    <t>90-737-0044</t>
  </si>
  <si>
    <t>Bubblemix</t>
  </si>
  <si>
    <t>92321 Nelson Trail</t>
  </si>
  <si>
    <t>28-956-1320</t>
  </si>
  <si>
    <t>95 Onsgard Way</t>
  </si>
  <si>
    <t>87-791-5803</t>
  </si>
  <si>
    <t>Tuna</t>
  </si>
  <si>
    <t>Meemm</t>
  </si>
  <si>
    <t>8 Fremont Circle</t>
  </si>
  <si>
    <t>14-521-4167</t>
  </si>
  <si>
    <t>Buttermilk</t>
  </si>
  <si>
    <t>00847 Reindahl Place</t>
  </si>
  <si>
    <t>51-572-5497</t>
  </si>
  <si>
    <t>Kanoodle</t>
  </si>
  <si>
    <t>9516 Burrows Circle</t>
  </si>
  <si>
    <t>28-840-6096</t>
  </si>
  <si>
    <t>Flipopia</t>
  </si>
  <si>
    <t>92655 Pond Park</t>
  </si>
  <si>
    <t>44-538-3366</t>
  </si>
  <si>
    <t>Realbridge</t>
  </si>
  <si>
    <t>46 Cardinal Way</t>
  </si>
  <si>
    <t>51-459-5630</t>
  </si>
  <si>
    <t>Sour Cream</t>
  </si>
  <si>
    <t>Skyvu</t>
  </si>
  <si>
    <t>805 Center Parkway</t>
  </si>
  <si>
    <t>02-655-3240</t>
  </si>
  <si>
    <t>Jabberstorm</t>
  </si>
  <si>
    <t>6738 Tennyson Road</t>
  </si>
  <si>
    <t>42-887-6557</t>
  </si>
  <si>
    <t>Geba</t>
  </si>
  <si>
    <t>61224 Northridge Avenue</t>
  </si>
  <si>
    <t>96-316-7600</t>
  </si>
  <si>
    <t>6 Swallow Crossing</t>
  </si>
  <si>
    <t>58-063-8633</t>
  </si>
  <si>
    <t>Skimia</t>
  </si>
  <si>
    <t>33424 Express Avenue</t>
  </si>
  <si>
    <t>43-703-9939</t>
  </si>
  <si>
    <t>4 Sundown Place</t>
  </si>
  <si>
    <t>88-069-5486</t>
  </si>
  <si>
    <t>Buzzshare</t>
  </si>
  <si>
    <t>01330 Sheridan Way</t>
  </si>
  <si>
    <t>74-845-3299</t>
  </si>
  <si>
    <t>Green Tea</t>
  </si>
  <si>
    <t>Oyoyo</t>
  </si>
  <si>
    <t>2 Petterle Road</t>
  </si>
  <si>
    <t>81-605-6246</t>
  </si>
  <si>
    <t>65721 Caliangt Crossing</t>
  </si>
  <si>
    <t>73-561-2867</t>
  </si>
  <si>
    <t>7444 Saint Paul Circle</t>
  </si>
  <si>
    <t>19-967-0632</t>
  </si>
  <si>
    <t>Yombu</t>
  </si>
  <si>
    <t>6990 Kings Place</t>
  </si>
  <si>
    <t>23-070-2433</t>
  </si>
  <si>
    <t>Powdered Sugar</t>
  </si>
  <si>
    <t>Meeveo</t>
  </si>
  <si>
    <t>836 Brown Alley</t>
  </si>
  <si>
    <t>27-262-2437</t>
  </si>
  <si>
    <t>Skidoo</t>
  </si>
  <si>
    <t>739 Swallow Road</t>
  </si>
  <si>
    <t>39-479-5147</t>
  </si>
  <si>
    <t>Meedoo</t>
  </si>
  <si>
    <t>14 Talmadge Park</t>
  </si>
  <si>
    <t>71-085-4290</t>
  </si>
  <si>
    <t>2 Basil Street</t>
  </si>
  <si>
    <t>48-957-6116</t>
  </si>
  <si>
    <t>938 Hanover Point</t>
  </si>
  <si>
    <t>83-917-7384</t>
  </si>
  <si>
    <t>Tavu</t>
  </si>
  <si>
    <t>3 Ilene Terrace</t>
  </si>
  <si>
    <t>26-031-8070</t>
  </si>
  <si>
    <t>Vegetable Oil</t>
  </si>
  <si>
    <t>Trudeo</t>
  </si>
  <si>
    <t>5414 Linden Point</t>
  </si>
  <si>
    <t>03-149-9760</t>
  </si>
  <si>
    <t>Yotz</t>
  </si>
  <si>
    <t>554 Eliot Point</t>
  </si>
  <si>
    <t>53-680-5293</t>
  </si>
  <si>
    <t>Cheddar Cheese</t>
  </si>
  <si>
    <t>Demizz</t>
  </si>
  <si>
    <t>97687 Mendota Terrace</t>
  </si>
  <si>
    <t>49-861-7823</t>
  </si>
  <si>
    <t>Skippad</t>
  </si>
  <si>
    <t>26 Graceland Circle</t>
  </si>
  <si>
    <t>24-364-3341</t>
  </si>
  <si>
    <t>Egg (Turkey)</t>
  </si>
  <si>
    <t>Topiclounge</t>
  </si>
  <si>
    <t>120 Gale Circle</t>
  </si>
  <si>
    <t>80-374-5711</t>
  </si>
  <si>
    <t>Browsecat</t>
  </si>
  <si>
    <t>13 Bluejay Way</t>
  </si>
  <si>
    <t>76-325-9093</t>
  </si>
  <si>
    <t>Sesame Oil</t>
  </si>
  <si>
    <t>01471 Burrows Lane</t>
  </si>
  <si>
    <t>30-429-2162</t>
  </si>
  <si>
    <t>Npath</t>
  </si>
  <si>
    <t>6382 Anniversary Pass</t>
  </si>
  <si>
    <t>53-446-8243</t>
  </si>
  <si>
    <t>757 Grasskamp Drive</t>
  </si>
  <si>
    <t>67-473-7093</t>
  </si>
  <si>
    <t>87417 Forest Pass</t>
  </si>
  <si>
    <t>98-235-2711</t>
  </si>
  <si>
    <t>Asparagus</t>
  </si>
  <si>
    <t>Devpoint</t>
  </si>
  <si>
    <t>5 Transport Pass</t>
  </si>
  <si>
    <t>07-219-8017</t>
  </si>
  <si>
    <t>Skibox</t>
  </si>
  <si>
    <t>357 High Crossing Parkway</t>
  </si>
  <si>
    <t>97-040-3822</t>
  </si>
  <si>
    <t>Gevee</t>
  </si>
  <si>
    <t>42 Clemons Terrace</t>
  </si>
  <si>
    <t>10-002-6494</t>
  </si>
  <si>
    <t>Meevee</t>
  </si>
  <si>
    <t>48 Vahlen Place</t>
  </si>
  <si>
    <t>12-998-3882</t>
  </si>
  <si>
    <t>94862 Beilfuss Terrace</t>
  </si>
  <si>
    <t>31-746-4951</t>
  </si>
  <si>
    <t>Whole Wheat Flour</t>
  </si>
  <si>
    <t>759 Waywood Court</t>
  </si>
  <si>
    <t>87-097-5691</t>
  </si>
  <si>
    <t>Robusta Coffee</t>
  </si>
  <si>
    <t>Photofeed</t>
  </si>
  <si>
    <t>236 Gateway Lane</t>
  </si>
  <si>
    <t>34-075-0371</t>
  </si>
  <si>
    <t>Watermelon</t>
  </si>
  <si>
    <t>Latz</t>
  </si>
  <si>
    <t>0039 Shelley Place</t>
  </si>
  <si>
    <t>40-810-9261</t>
  </si>
  <si>
    <t>Cogibox</t>
  </si>
  <si>
    <t>3 Raven Court</t>
  </si>
  <si>
    <t>46-931-6897</t>
  </si>
  <si>
    <t>44 Kensington Road</t>
  </si>
  <si>
    <t>58-182-6781</t>
  </si>
  <si>
    <t>Pixope</t>
  </si>
  <si>
    <t>86 Maryland Junction</t>
  </si>
  <si>
    <t>06-706-6490</t>
  </si>
  <si>
    <t>Tanoodle</t>
  </si>
  <si>
    <t>443 Browning Terrace</t>
  </si>
  <si>
    <t>47-578-4161</t>
  </si>
  <si>
    <t>Anchovies</t>
  </si>
  <si>
    <t>Jaxspan</t>
  </si>
  <si>
    <t>5 Forest Run Way</t>
  </si>
  <si>
    <t>18-199-5799</t>
  </si>
  <si>
    <t>Jayo</t>
  </si>
  <si>
    <t>87784 Blaine Way</t>
  </si>
  <si>
    <t>00-357-2313</t>
  </si>
  <si>
    <t>Quamba</t>
  </si>
  <si>
    <t>0 Oxford Crossing</t>
  </si>
  <si>
    <t>83-704-6367</t>
  </si>
  <si>
    <t>298 Corry Plaza</t>
  </si>
  <si>
    <t>01-144-5960</t>
  </si>
  <si>
    <t>Zazio</t>
  </si>
  <si>
    <t>52105 Mandrake Place</t>
  </si>
  <si>
    <t>96-774-0457</t>
  </si>
  <si>
    <t>Izio</t>
  </si>
  <si>
    <t>7369 Thackeray Drive</t>
  </si>
  <si>
    <t>24-310-9184</t>
  </si>
  <si>
    <t>Brainlounge</t>
  </si>
  <si>
    <t>6 Haas Circle</t>
  </si>
  <si>
    <t>10-255-8579</t>
  </si>
  <si>
    <t>Basmati Rice</t>
  </si>
  <si>
    <t>Trilia</t>
  </si>
  <si>
    <t>1959 Marcy Center</t>
  </si>
  <si>
    <t>38-417-4656</t>
  </si>
  <si>
    <t>1309 Elka Junction</t>
  </si>
  <si>
    <t>53-080-8252</t>
  </si>
  <si>
    <t>2 Grayhawk Junction</t>
  </si>
  <si>
    <t>14-681-7035</t>
  </si>
  <si>
    <t>Voolith</t>
  </si>
  <si>
    <t>95261 Morningstar Way</t>
  </si>
  <si>
    <t>96-503-7712</t>
  </si>
  <si>
    <t>Twitterbridge</t>
  </si>
  <si>
    <t>84148 Prairie Rose Center</t>
  </si>
  <si>
    <t>98-064-4465</t>
  </si>
  <si>
    <t>Feedfire</t>
  </si>
  <si>
    <t>109 Twin Pines Avenue</t>
  </si>
  <si>
    <t>84-198-7276</t>
  </si>
  <si>
    <t>6 Harbort Hill</t>
  </si>
  <si>
    <t>18-278-2383</t>
  </si>
  <si>
    <t>96 American Center</t>
  </si>
  <si>
    <t>20-054-3716</t>
  </si>
  <si>
    <t>JumpXS</t>
  </si>
  <si>
    <t>39 Lakewood Gardens Center</t>
  </si>
  <si>
    <t>63-822-5278</t>
  </si>
  <si>
    <t>5900 Vahlen Avenue</t>
  </si>
  <si>
    <t>01-439-6231</t>
  </si>
  <si>
    <t>Sunflower Oil</t>
  </si>
  <si>
    <t>8 Spaight Circle</t>
  </si>
  <si>
    <t>06-690-2335</t>
  </si>
  <si>
    <t>5 Linden Terrace</t>
  </si>
  <si>
    <t>47-554-5780</t>
  </si>
  <si>
    <t>Babbleopia</t>
  </si>
  <si>
    <t>1 Westport Crossing</t>
  </si>
  <si>
    <t>70-587-1204</t>
  </si>
  <si>
    <t>2446 Anhalt Way</t>
  </si>
  <si>
    <t>97-710-2449</t>
  </si>
  <si>
    <t>0 Miller Pass</t>
  </si>
  <si>
    <t>51-462-0747</t>
  </si>
  <si>
    <t>Lime</t>
  </si>
  <si>
    <t>453 Dryden Park</t>
  </si>
  <si>
    <t>90-492-0564</t>
  </si>
  <si>
    <t>54 Pawling Crossing</t>
  </si>
  <si>
    <t>63-956-0739</t>
  </si>
  <si>
    <t>Jetwire</t>
  </si>
  <si>
    <t>6808 Chinook Parkway</t>
  </si>
  <si>
    <t>30-832-5429</t>
  </si>
  <si>
    <t>Topicshots</t>
  </si>
  <si>
    <t>894 Kingsford Road</t>
  </si>
  <si>
    <t>38-822-8005</t>
  </si>
  <si>
    <t>Innojam</t>
  </si>
  <si>
    <t>6 Stang Hill</t>
  </si>
  <si>
    <t>73-118-1117</t>
  </si>
  <si>
    <t>482 Green Center</t>
  </si>
  <si>
    <t>60-285-3783</t>
  </si>
  <si>
    <t>37973 Parkside Junction</t>
  </si>
  <si>
    <t>00-215-7434</t>
  </si>
  <si>
    <t>Quatz</t>
  </si>
  <si>
    <t>389 Ridgeway Park</t>
  </si>
  <si>
    <t>68-734-1585</t>
  </si>
  <si>
    <t>3 Hagan Drive</t>
  </si>
  <si>
    <t>08-703-1382</t>
  </si>
  <si>
    <t>Wikizz</t>
  </si>
  <si>
    <t>082 Clove Plaza</t>
  </si>
  <si>
    <t>65-282-0419</t>
  </si>
  <si>
    <t>509 Waywood Center</t>
  </si>
  <si>
    <t>62-777-6010</t>
  </si>
  <si>
    <t>5743 Superior Place</t>
  </si>
  <si>
    <t>87-675-1506</t>
  </si>
  <si>
    <t>Skalith</t>
  </si>
  <si>
    <t>60241 Portage Point</t>
  </si>
  <si>
    <t>67-027-7269</t>
  </si>
  <si>
    <t>Twitterbeat</t>
  </si>
  <si>
    <t>615 Mayer Drive</t>
  </si>
  <si>
    <t>72-066-4597</t>
  </si>
  <si>
    <t>Zoovu</t>
  </si>
  <si>
    <t>03 Fisk Alley</t>
  </si>
  <si>
    <t>31-627-6025</t>
  </si>
  <si>
    <t>44638 Corscot Lane</t>
  </si>
  <si>
    <t>09-286-8107</t>
  </si>
  <si>
    <t>Skyndu</t>
  </si>
  <si>
    <t>75 Bunting Junction</t>
  </si>
  <si>
    <t>77-013-1553</t>
  </si>
  <si>
    <t>Yodo</t>
  </si>
  <si>
    <t>48788 Chinook Place</t>
  </si>
  <si>
    <t>15-762-1058</t>
  </si>
  <si>
    <t>Tazz</t>
  </si>
  <si>
    <t>083 Mccormick Park</t>
  </si>
  <si>
    <t>48-193-1199</t>
  </si>
  <si>
    <t>Omba</t>
  </si>
  <si>
    <t>339 Paget Place</t>
  </si>
  <si>
    <t>01-173-0029</t>
  </si>
  <si>
    <t>DabZ</t>
  </si>
  <si>
    <t>8 Dakota Avenue</t>
  </si>
  <si>
    <t>79-400-6216</t>
  </si>
  <si>
    <t>4 Warbler Center</t>
  </si>
  <si>
    <t>80-072-8774</t>
  </si>
  <si>
    <t>Viva</t>
  </si>
  <si>
    <t>239 Anderson Court</t>
  </si>
  <si>
    <t>78-689-8958</t>
  </si>
  <si>
    <t>04 Mesta Parkway</t>
  </si>
  <si>
    <t>57-562-2358</t>
  </si>
  <si>
    <t>00 6th Parkway</t>
  </si>
  <si>
    <t>56-191-6497</t>
  </si>
  <si>
    <t>Bubblebox</t>
  </si>
  <si>
    <t>844 Schurz Point</t>
  </si>
  <si>
    <t>46-753-8430</t>
  </si>
  <si>
    <t>Rhynyx</t>
  </si>
  <si>
    <t>60356 Derek Lane</t>
  </si>
  <si>
    <t>48-461-3742</t>
  </si>
  <si>
    <t>Zooveo</t>
  </si>
  <si>
    <t>42719 Milwaukee Avenue</t>
  </si>
  <si>
    <t>16-354-8122</t>
  </si>
  <si>
    <t>Digestive Biscuit</t>
  </si>
  <si>
    <t>BlogXS</t>
  </si>
  <si>
    <t>66 Raven Pass</t>
  </si>
  <si>
    <t>76-954-1442</t>
  </si>
  <si>
    <t>43024 Elka Avenue</t>
  </si>
  <si>
    <t>44-476-0390</t>
  </si>
  <si>
    <t>022 Pierstorff Point</t>
  </si>
  <si>
    <t>35-617-3857</t>
  </si>
  <si>
    <t>Youspan</t>
  </si>
  <si>
    <t>292 Charing Cross Terrace</t>
  </si>
  <si>
    <t>94-029-2717</t>
  </si>
  <si>
    <t>Jetpulse</t>
  </si>
  <si>
    <t>071 Nobel Circle</t>
  </si>
  <si>
    <t>49-526-7806</t>
  </si>
  <si>
    <t>Kale</t>
  </si>
  <si>
    <t>Yodoo</t>
  </si>
  <si>
    <t>6744 Helena Pass</t>
  </si>
  <si>
    <t>99-137-1730</t>
  </si>
  <si>
    <t>4105 Fair Oaks Parkway</t>
  </si>
  <si>
    <t>27-442-3654</t>
  </si>
  <si>
    <t>Yoveo</t>
  </si>
  <si>
    <t>67677 Lakewood Gardens Way</t>
  </si>
  <si>
    <t>32-933-0329</t>
  </si>
  <si>
    <t>57150 Del Sol Alley</t>
  </si>
  <si>
    <t>93-813-2419</t>
  </si>
  <si>
    <t>7407 Farragut Pass</t>
  </si>
  <si>
    <t>85-440-3667</t>
  </si>
  <si>
    <t>6151 Forster Drive</t>
  </si>
  <si>
    <t>77-224-2227</t>
  </si>
  <si>
    <t>Eimbee</t>
  </si>
  <si>
    <t>5426 Fordem Pass</t>
  </si>
  <si>
    <t>60-632-8752</t>
  </si>
  <si>
    <t>Trunyx</t>
  </si>
  <si>
    <t>48 Golf View Pass</t>
  </si>
  <si>
    <t>99-561-4871</t>
  </si>
  <si>
    <t>Buzzdog</t>
  </si>
  <si>
    <t>952 Rowland Junction</t>
  </si>
  <si>
    <t>61-607-7622</t>
  </si>
  <si>
    <t>Zoonoodle</t>
  </si>
  <si>
    <t>329 Helena Park</t>
  </si>
  <si>
    <t>11-745-3025</t>
  </si>
  <si>
    <t>3104 Ridge Oak Hill</t>
  </si>
  <si>
    <t>56-810-0550</t>
  </si>
  <si>
    <t>Mackerel</t>
  </si>
  <si>
    <t>Janyx</t>
  </si>
  <si>
    <t>376 Reinke Court</t>
  </si>
  <si>
    <t>59-075-2457</t>
  </si>
  <si>
    <t>Dynava</t>
  </si>
  <si>
    <t>2 Barby Lane</t>
  </si>
  <si>
    <t>40-021-2400</t>
  </si>
  <si>
    <t>265 Columbus Way</t>
  </si>
  <si>
    <t>29-017-6255</t>
  </si>
  <si>
    <t>20 Pennsylvania Parkway</t>
  </si>
  <si>
    <t>92-291-7089</t>
  </si>
  <si>
    <t>9307 Kingsford Road</t>
  </si>
  <si>
    <t>69-287-9113</t>
  </si>
  <si>
    <t>11 Golden Leaf Alley</t>
  </si>
  <si>
    <t>76-540-6407</t>
  </si>
  <si>
    <t>Demimbu</t>
  </si>
  <si>
    <t>77 Prairie Rose Park</t>
  </si>
  <si>
    <t>85-561-4694</t>
  </si>
  <si>
    <t>1 Lake View Trail</t>
  </si>
  <si>
    <t>34-928-2775</t>
  </si>
  <si>
    <t>Browseblab</t>
  </si>
  <si>
    <t>7945 Mayer Center</t>
  </si>
  <si>
    <t>90-773-9557</t>
  </si>
  <si>
    <t>904 Del Mar Crossing</t>
  </si>
  <si>
    <t>57-394-1587</t>
  </si>
  <si>
    <t>Roomm</t>
  </si>
  <si>
    <t>561 Blue Bill Park Road</t>
  </si>
  <si>
    <t>28-008-2951</t>
  </si>
  <si>
    <t>Buzzster</t>
  </si>
  <si>
    <t>26 Barnett Junction</t>
  </si>
  <si>
    <t>74-711-7160</t>
  </si>
  <si>
    <t>Meembee</t>
  </si>
  <si>
    <t>44296 Kropf Avenue</t>
  </si>
  <si>
    <t>22-895-6595</t>
  </si>
  <si>
    <t>34642 Carpenter Place</t>
  </si>
  <si>
    <t>19-214-5762</t>
  </si>
  <si>
    <t>Gigashots</t>
  </si>
  <si>
    <t>7 Bonner Terrace</t>
  </si>
  <si>
    <t>95-349-0828</t>
  </si>
  <si>
    <t>60 Towne Hill</t>
  </si>
  <si>
    <t>00-963-2193</t>
  </si>
  <si>
    <t>Milk</t>
  </si>
  <si>
    <t>Thoughtsphere</t>
  </si>
  <si>
    <t>5030 Moose Junction</t>
  </si>
  <si>
    <t>76-459-2392</t>
  </si>
  <si>
    <t>2005 Mccormick Road</t>
  </si>
  <si>
    <t>10-034-7654</t>
  </si>
  <si>
    <t>Zava</t>
  </si>
  <si>
    <t>21 Esker Way</t>
  </si>
  <si>
    <t>24-972-6969</t>
  </si>
  <si>
    <t>5862 Hooker Pass</t>
  </si>
  <si>
    <t>94-190-5193</t>
  </si>
  <si>
    <t>Quinu</t>
  </si>
  <si>
    <t>24385 Prentice Plaza</t>
  </si>
  <si>
    <t>92-791-0606</t>
  </si>
  <si>
    <t>739 Grayhawk Trail</t>
  </si>
  <si>
    <t>84-629-1532</t>
  </si>
  <si>
    <t>Chatterpoint</t>
  </si>
  <si>
    <t>7 Sloan Park</t>
  </si>
  <si>
    <t>68-977-2498</t>
  </si>
  <si>
    <t>Grapes</t>
  </si>
  <si>
    <t>Skinix</t>
  </si>
  <si>
    <t>6482 Ramsey Alley</t>
  </si>
  <si>
    <t>91-257-3672</t>
  </si>
  <si>
    <t>InnoZ</t>
  </si>
  <si>
    <t>10997 Dexter Parkway</t>
  </si>
  <si>
    <t>09-536-2626</t>
  </si>
  <si>
    <t>Fliptune</t>
  </si>
  <si>
    <t>205 Straubel Court</t>
  </si>
  <si>
    <t>61-801-8665</t>
  </si>
  <si>
    <t>Demivee</t>
  </si>
  <si>
    <t>58 La Follette Park</t>
  </si>
  <si>
    <t>38-296-6634</t>
  </si>
  <si>
    <t>160 Kings Street</t>
  </si>
  <si>
    <t>30-591-7275</t>
  </si>
  <si>
    <t>Brown Rice</t>
  </si>
  <si>
    <t>7020 Porter Trail</t>
  </si>
  <si>
    <t>83-763-5038</t>
  </si>
  <si>
    <t>Jatri</t>
  </si>
  <si>
    <t>5 Armistice Parkway</t>
  </si>
  <si>
    <t>37-709-3532</t>
  </si>
  <si>
    <t>524 Saint Paul Park</t>
  </si>
  <si>
    <t>62-795-7801</t>
  </si>
  <si>
    <t>94451 Arkansas Park</t>
  </si>
  <si>
    <t>98-575-4736</t>
  </si>
  <si>
    <t>Flashset</t>
  </si>
  <si>
    <t>83 Pleasure Street</t>
  </si>
  <si>
    <t>57-861-4379</t>
  </si>
  <si>
    <t>64407 Marcy Plaza</t>
  </si>
  <si>
    <t>00-119-8780</t>
  </si>
  <si>
    <t>Halibut</t>
  </si>
  <si>
    <t>21 Sunbrook Court</t>
  </si>
  <si>
    <t>28-824-9017</t>
  </si>
  <si>
    <t>4 Jay Terrace</t>
  </si>
  <si>
    <t>56-668-5370</t>
  </si>
  <si>
    <t>Vimbo</t>
  </si>
  <si>
    <t>05686 Golden Leaf Point</t>
  </si>
  <si>
    <t>29-756-7042</t>
  </si>
  <si>
    <t>Dabvine</t>
  </si>
  <si>
    <t>99 Fair Oaks Circle</t>
  </si>
  <si>
    <t>41-538-3129</t>
  </si>
  <si>
    <t>2 Carioca Crossing</t>
  </si>
  <si>
    <t>16-380-0753</t>
  </si>
  <si>
    <t>Apricot</t>
  </si>
  <si>
    <t>701 Logan Court</t>
  </si>
  <si>
    <t>26-535-4727</t>
  </si>
  <si>
    <t>Jamia</t>
  </si>
  <si>
    <t>4 Darwin Circle</t>
  </si>
  <si>
    <t>59-857-6577</t>
  </si>
  <si>
    <t>Evaporated Milk</t>
  </si>
  <si>
    <t>Blognation</t>
  </si>
  <si>
    <t>230 Tony Court</t>
  </si>
  <si>
    <t>14-550-2152</t>
  </si>
  <si>
    <t>Livepath</t>
  </si>
  <si>
    <t>3 Forster Point</t>
  </si>
  <si>
    <t>39-315-3936</t>
  </si>
  <si>
    <t>Yata</t>
  </si>
  <si>
    <t>850 Glacier Hill Drive</t>
  </si>
  <si>
    <t>87-199-2743</t>
  </si>
  <si>
    <t>Papaya</t>
  </si>
  <si>
    <t>38695 Kenwood Circle</t>
  </si>
  <si>
    <t>60-771-0879</t>
  </si>
  <si>
    <t>9 Karstens Center</t>
  </si>
  <si>
    <t>00-440-9568</t>
  </si>
  <si>
    <t>052 Northland Trail</t>
  </si>
  <si>
    <t>07-074-1196</t>
  </si>
  <si>
    <t>27 New Castle Avenue</t>
  </si>
  <si>
    <t>69-674-5387</t>
  </si>
  <si>
    <t>Yogurt</t>
  </si>
  <si>
    <t>Miboo</t>
  </si>
  <si>
    <t>6211 Hanson Terrace</t>
  </si>
  <si>
    <t>08-940-8578</t>
  </si>
  <si>
    <t>Oba</t>
  </si>
  <si>
    <t>74 Menomonie Point</t>
  </si>
  <si>
    <t>94-020-6982</t>
  </si>
  <si>
    <t>381 Rutledge Place</t>
  </si>
  <si>
    <t>42-879-9478</t>
  </si>
  <si>
    <t>Zoonder</t>
  </si>
  <si>
    <t>86 Porter Junction</t>
  </si>
  <si>
    <t>00-405-7428</t>
  </si>
  <si>
    <t>Apple</t>
  </si>
  <si>
    <t>42 Mallory Court</t>
  </si>
  <si>
    <t>87-997-0228</t>
  </si>
  <si>
    <t>26240 Maple Wood Place</t>
  </si>
  <si>
    <t>05-498-7751</t>
  </si>
  <si>
    <t>Abata</t>
  </si>
  <si>
    <t>30408 5th Way</t>
  </si>
  <si>
    <t>55-631-7937</t>
  </si>
  <si>
    <t>Avamba</t>
  </si>
  <si>
    <t>82 Drewry Junction</t>
  </si>
  <si>
    <t>27-389-3529</t>
  </si>
  <si>
    <t>Feedfish</t>
  </si>
  <si>
    <t>234 Eagle Crest Avenue</t>
  </si>
  <si>
    <t>84-272-0790</t>
  </si>
  <si>
    <t>53 Caliangt Junction</t>
  </si>
  <si>
    <t>01-903-5373</t>
  </si>
  <si>
    <t>Lazz</t>
  </si>
  <si>
    <t>32525 Marquette Park</t>
  </si>
  <si>
    <t>49-311-3063</t>
  </si>
  <si>
    <t>Talane</t>
  </si>
  <si>
    <t>71 Bultman Drive</t>
  </si>
  <si>
    <t>04-277-5245</t>
  </si>
  <si>
    <t>Coconut Sugar</t>
  </si>
  <si>
    <t>911 Ridgeway Way</t>
  </si>
  <si>
    <t>04-453-5485</t>
  </si>
  <si>
    <t>Tomato</t>
  </si>
  <si>
    <t>2 Sunbrook Lane</t>
  </si>
  <si>
    <t>42-141-5718</t>
  </si>
  <si>
    <t>1700 Briar Crest Parkway</t>
  </si>
  <si>
    <t>89-602-6755</t>
  </si>
  <si>
    <t>4 Bashford Court</t>
  </si>
  <si>
    <t>15-045-8444</t>
  </si>
  <si>
    <t>Aibox</t>
  </si>
  <si>
    <t>97 Thierer Terrace</t>
  </si>
  <si>
    <t>15-240-6267</t>
  </si>
  <si>
    <t>Mybuzz</t>
  </si>
  <si>
    <t>25784 Old Gate Crossing</t>
  </si>
  <si>
    <t>05-193-8096</t>
  </si>
  <si>
    <t>Rhynoodle</t>
  </si>
  <si>
    <t>38 Rutledge Plaza</t>
  </si>
  <si>
    <t>93-342-8794</t>
  </si>
  <si>
    <t>39102 Division Trail</t>
  </si>
  <si>
    <t>83-716-2177</t>
  </si>
  <si>
    <t>Linktype</t>
  </si>
  <si>
    <t>26266 Esker Point</t>
  </si>
  <si>
    <t>56-635-6764</t>
  </si>
  <si>
    <t>744 Green Center</t>
  </si>
  <si>
    <t>10-249-7928</t>
  </si>
  <si>
    <t>57598 Russell Center</t>
  </si>
  <si>
    <t>65-759-3721</t>
  </si>
  <si>
    <t>Vipe</t>
  </si>
  <si>
    <t>315 Acker Alley</t>
  </si>
  <si>
    <t>08-725-8156</t>
  </si>
  <si>
    <t>73397 Steensland Circle</t>
  </si>
  <si>
    <t>15-679-3935</t>
  </si>
  <si>
    <t>Jabbersphere</t>
  </si>
  <si>
    <t>95 Garrison Plaza</t>
  </si>
  <si>
    <t>81-578-7404</t>
  </si>
  <si>
    <t>Rhyloo</t>
  </si>
  <si>
    <t>5989 Longview Drive</t>
  </si>
  <si>
    <t>82-380-5378</t>
  </si>
  <si>
    <t>Oozz</t>
  </si>
  <si>
    <t>05518 Saint Paul Street</t>
  </si>
  <si>
    <t>78-362-8578</t>
  </si>
  <si>
    <t>86 Corben Crossing</t>
  </si>
  <si>
    <t>32-261-0008</t>
  </si>
  <si>
    <t>2 Kingsford Center</t>
  </si>
  <si>
    <t>74-943-9034</t>
  </si>
  <si>
    <t>0 Saint Paul Center</t>
  </si>
  <si>
    <t>86-330-0214</t>
  </si>
  <si>
    <t>5818 Twin Pines Place</t>
  </si>
  <si>
    <t>80-334-0215</t>
  </si>
  <si>
    <t>Camimbo</t>
  </si>
  <si>
    <t>611 Waubesa Circle</t>
  </si>
  <si>
    <t>48-957-8596</t>
  </si>
  <si>
    <t>3825 Raven Avenue</t>
  </si>
  <si>
    <t>37-246-0018</t>
  </si>
  <si>
    <t>Skilith</t>
  </si>
  <si>
    <t>52 Alpine Crossing</t>
  </si>
  <si>
    <t>17-002-4721</t>
  </si>
  <si>
    <t>379 Duke Court</t>
  </si>
  <si>
    <t>47-802-5023</t>
  </si>
  <si>
    <t>7096 Mcguire Park</t>
  </si>
  <si>
    <t>22-319-1377</t>
  </si>
  <si>
    <t>Skyba</t>
  </si>
  <si>
    <t>083 Gulseth Pass</t>
  </si>
  <si>
    <t>57-903-6434</t>
  </si>
  <si>
    <t>34 Linden Court</t>
  </si>
  <si>
    <t>22-083-3347</t>
  </si>
  <si>
    <t>38 Superior Road</t>
  </si>
  <si>
    <t>65-145-9672</t>
  </si>
  <si>
    <t>8 Dovetail Junction</t>
  </si>
  <si>
    <t>95-252-9619</t>
  </si>
  <si>
    <t>57453 Northwestern Alley</t>
  </si>
  <si>
    <t>74-294-3760</t>
  </si>
  <si>
    <t>0109 Stang Terrace</t>
  </si>
  <si>
    <t>06-797-4963</t>
  </si>
  <si>
    <t>1008 Welch Street</t>
  </si>
  <si>
    <t>39-768-8205</t>
  </si>
  <si>
    <t>Gigabox</t>
  </si>
  <si>
    <t>32 Rigney Terrace</t>
  </si>
  <si>
    <t>03-043-9933</t>
  </si>
  <si>
    <t>884 Fieldstone Plaza</t>
  </si>
  <si>
    <t>29-823-6004</t>
  </si>
  <si>
    <t>3 Lawn Park</t>
  </si>
  <si>
    <t>40-462-2952</t>
  </si>
  <si>
    <t>0258 Shoshone Center</t>
  </si>
  <si>
    <t>71-999-2404</t>
  </si>
  <si>
    <t>Meezzy</t>
  </si>
  <si>
    <t>18 Warrior Circle</t>
  </si>
  <si>
    <t>03-919-9890</t>
  </si>
  <si>
    <t>Wikibox</t>
  </si>
  <si>
    <t>7 Riverside Road</t>
  </si>
  <si>
    <t>94-525-6925</t>
  </si>
  <si>
    <t>Kwilith</t>
  </si>
  <si>
    <t>667 Arkansas Circle</t>
  </si>
  <si>
    <t>08-213-2058</t>
  </si>
  <si>
    <t>33 Clarendon Hill</t>
  </si>
  <si>
    <t>51-312-8608</t>
  </si>
  <si>
    <t>406 Westridge Alley</t>
  </si>
  <si>
    <t>67-512-9754</t>
  </si>
  <si>
    <t>69 Orin Plaza</t>
  </si>
  <si>
    <t>45-402-0421</t>
  </si>
  <si>
    <t>36 Longview Street</t>
  </si>
  <si>
    <t>85-207-4164</t>
  </si>
  <si>
    <t>41 Comanche Park</t>
  </si>
  <si>
    <t>72-780-6006</t>
  </si>
  <si>
    <t>88721 Dawn Crossing</t>
  </si>
  <si>
    <t>93-166-3169</t>
  </si>
  <si>
    <t>339 Crescent Oaks Plaza</t>
  </si>
  <si>
    <t>21-718-6746</t>
  </si>
  <si>
    <t>Eamia</t>
  </si>
  <si>
    <t>277 Pawling Terrace</t>
  </si>
  <si>
    <t>93-966-7754</t>
  </si>
  <si>
    <t>4 4th Place</t>
  </si>
  <si>
    <t>47-663-5703</t>
  </si>
  <si>
    <t>6500 Raven Drive</t>
  </si>
  <si>
    <t>34-110-1040</t>
  </si>
  <si>
    <t>Leenti</t>
  </si>
  <si>
    <t>42397 Knutson Place</t>
  </si>
  <si>
    <t>82-342-7339</t>
  </si>
  <si>
    <t>Vanilla Biscuit</t>
  </si>
  <si>
    <t>Yozio</t>
  </si>
  <si>
    <t>317 Anniversary Pass</t>
  </si>
  <si>
    <t>43-670-8544</t>
  </si>
  <si>
    <t>Camido</t>
  </si>
  <si>
    <t>3 Logan Trail</t>
  </si>
  <si>
    <t>12-439-8428</t>
  </si>
  <si>
    <t>Ainyx</t>
  </si>
  <si>
    <t>6 Rusk Pass</t>
  </si>
  <si>
    <t>49-919-8798</t>
  </si>
  <si>
    <t>3 Dottie Junction</t>
  </si>
  <si>
    <t>73-567-6194</t>
  </si>
  <si>
    <t>Yakitri</t>
  </si>
  <si>
    <t>069 Basil Center</t>
  </si>
  <si>
    <t>83-573-4586</t>
  </si>
  <si>
    <t>Thoughtbeat</t>
  </si>
  <si>
    <t>84575 Randy Point</t>
  </si>
  <si>
    <t>12-798-9401</t>
  </si>
  <si>
    <t>5 Forster Point</t>
  </si>
  <si>
    <t>02-895-7781</t>
  </si>
  <si>
    <t>Tagchat</t>
  </si>
  <si>
    <t>2582 Autumn Leaf Park</t>
  </si>
  <si>
    <t>83-625-3618</t>
  </si>
  <si>
    <t>Realmix</t>
  </si>
  <si>
    <t>2696 Katie Road</t>
  </si>
  <si>
    <t>89-181-4523</t>
  </si>
  <si>
    <t>Wild Rice</t>
  </si>
  <si>
    <t>022 Prairie Rose Drive</t>
  </si>
  <si>
    <t>95-354-8583</t>
  </si>
  <si>
    <t>848 Mariners Cove Junction</t>
  </si>
  <si>
    <t>90-303-1821</t>
  </si>
  <si>
    <t>Edgewire</t>
  </si>
  <si>
    <t>6435 Burning Wood Drive</t>
  </si>
  <si>
    <t>71-631-5875</t>
  </si>
  <si>
    <t>Salmon</t>
  </si>
  <si>
    <t>13 Loomis Alley</t>
  </si>
  <si>
    <t>02-275-6061</t>
  </si>
  <si>
    <t>6891 Mandrake Park</t>
  </si>
  <si>
    <t>04-001-1793</t>
  </si>
  <si>
    <t>0 Stoughton Terrace</t>
  </si>
  <si>
    <t>47-749-3277</t>
  </si>
  <si>
    <t>502 Sachs Circle</t>
  </si>
  <si>
    <t>37-666-3902</t>
  </si>
  <si>
    <t>85276 Lakewood Gardens Alley</t>
  </si>
  <si>
    <t>73-942-0508</t>
  </si>
  <si>
    <t>1034 2nd Point</t>
  </si>
  <si>
    <t>57-359-3397</t>
  </si>
  <si>
    <t>Twiyo</t>
  </si>
  <si>
    <t>81071 West Alley</t>
  </si>
  <si>
    <t>46-436-5351</t>
  </si>
  <si>
    <t>226 Calypso Road</t>
  </si>
  <si>
    <t>27-881-1177</t>
  </si>
  <si>
    <t>1223 Monument Drive</t>
  </si>
  <si>
    <t>85-237-3505</t>
  </si>
  <si>
    <t>20073 Northfield Way</t>
  </si>
  <si>
    <t>80-371-3695</t>
  </si>
  <si>
    <t>Divape</t>
  </si>
  <si>
    <t>163 Esch Pass</t>
  </si>
  <si>
    <t>04-758-0410</t>
  </si>
  <si>
    <t>Wordpedia</t>
  </si>
  <si>
    <t>5 Toban Circle</t>
  </si>
  <si>
    <t>65-644-1394</t>
  </si>
  <si>
    <t>582 Dahle Center</t>
  </si>
  <si>
    <t>04-293-6969</t>
  </si>
  <si>
    <t>0 Oak Valley Lane</t>
  </si>
  <si>
    <t>40-997-2786</t>
  </si>
  <si>
    <t>5551 Mallory Lane</t>
  </si>
  <si>
    <t>91-553-1774</t>
  </si>
  <si>
    <t>84 Washington Crossing</t>
  </si>
  <si>
    <t>13-980-8804</t>
  </si>
  <si>
    <t>Sweet Potato</t>
  </si>
  <si>
    <t>41 Nelson Center</t>
  </si>
  <si>
    <t>19-672-8982</t>
  </si>
  <si>
    <t>285 East Plaza</t>
  </si>
  <si>
    <t>35-299-0889</t>
  </si>
  <si>
    <t>Coconut Oil</t>
  </si>
  <si>
    <t>95 Packers Lane</t>
  </si>
  <si>
    <t>17-022-9721</t>
  </si>
  <si>
    <t>39 Dahle Alley</t>
  </si>
  <si>
    <t>22-849-2551</t>
  </si>
  <si>
    <t>81533 John Wall Court</t>
  </si>
  <si>
    <t>53-050-8242</t>
  </si>
  <si>
    <t>9 Cordelia Trail</t>
  </si>
  <si>
    <t>88-183-5781</t>
  </si>
  <si>
    <t>Whole Wheat Bread</t>
  </si>
  <si>
    <t>46 Delaware Place</t>
  </si>
  <si>
    <t>09-101-1740</t>
  </si>
  <si>
    <t>96629 Nova Plaza</t>
  </si>
  <si>
    <t>98-445-7372</t>
  </si>
  <si>
    <t>8531 Manley Court</t>
  </si>
  <si>
    <t>29-875-6900</t>
  </si>
  <si>
    <t>2 Sachtjen Park</t>
  </si>
  <si>
    <t>27-757-4489</t>
  </si>
  <si>
    <t>27535 Morrow Avenue</t>
  </si>
  <si>
    <t>51-069-0489</t>
  </si>
  <si>
    <t>Oloo</t>
  </si>
  <si>
    <t>3 Anthes Place</t>
  </si>
  <si>
    <t>20-325-1965</t>
  </si>
  <si>
    <t>78884 Union Street</t>
  </si>
  <si>
    <t>76-090-4411</t>
  </si>
  <si>
    <t>15 Loomis Avenue</t>
  </si>
  <si>
    <t>01-703-8441</t>
  </si>
  <si>
    <t>4029 Lotheville Pass</t>
  </si>
  <si>
    <t>09-622-7119</t>
  </si>
  <si>
    <t>Youtags</t>
  </si>
  <si>
    <t>665 Sommers Circle</t>
  </si>
  <si>
    <t>45-172-7012</t>
  </si>
  <si>
    <t>11 Kedzie Avenue</t>
  </si>
  <si>
    <t>06-849-4869</t>
  </si>
  <si>
    <t>Rhycero</t>
  </si>
  <si>
    <t>041 Paget Alley</t>
  </si>
  <si>
    <t>30-996-2526</t>
  </si>
  <si>
    <t>77 Monterey Avenue</t>
  </si>
  <si>
    <t>71-074-6292</t>
  </si>
  <si>
    <t>Plajo</t>
  </si>
  <si>
    <t>338 Annamark Court</t>
  </si>
  <si>
    <t>98-909-9395</t>
  </si>
  <si>
    <t>43 Heath Street</t>
  </si>
  <si>
    <t>61-796-6540</t>
  </si>
  <si>
    <t>126 Spohn Plaza</t>
  </si>
  <si>
    <t>41-735-9837</t>
  </si>
  <si>
    <t>Devpulse</t>
  </si>
  <si>
    <t>2374 Chive Court</t>
  </si>
  <si>
    <t>60-343-3288</t>
  </si>
  <si>
    <t>6 Hanover Terrace</t>
  </si>
  <si>
    <t>27-783-5470</t>
  </si>
  <si>
    <t>6 Tony Junction</t>
  </si>
  <si>
    <t>60-456-8169</t>
  </si>
  <si>
    <t>Oyoba</t>
  </si>
  <si>
    <t>710 Service Park</t>
  </si>
  <si>
    <t>99-420-3592</t>
  </si>
  <si>
    <t>206 Pine View Junction</t>
  </si>
  <si>
    <t>35-836-6718</t>
  </si>
  <si>
    <t>05 Canary Circle</t>
  </si>
  <si>
    <t>51-273-4240</t>
  </si>
  <si>
    <t>7 Prairieview Place</t>
  </si>
  <si>
    <t>38-924-3007</t>
  </si>
  <si>
    <t>Photolist</t>
  </si>
  <si>
    <t>6 Anthes Court</t>
  </si>
  <si>
    <t>52-123-8039</t>
  </si>
  <si>
    <t>Browsebug</t>
  </si>
  <si>
    <t>7 Schiller Court</t>
  </si>
  <si>
    <t>34-131-8805</t>
  </si>
  <si>
    <t>44249 Sutteridge Crossing</t>
  </si>
  <si>
    <t>28-505-8317</t>
  </si>
  <si>
    <t>Digitube</t>
  </si>
  <si>
    <t>848 Old Gate Parkway</t>
  </si>
  <si>
    <t>41-594-5069</t>
  </si>
  <si>
    <t>Blogtags</t>
  </si>
  <si>
    <t>9 Clemons Hill</t>
  </si>
  <si>
    <t>94-658-4945</t>
  </si>
  <si>
    <t>15 Veith Circle</t>
  </si>
  <si>
    <t>69-561-2496</t>
  </si>
  <si>
    <t>154 Delladonna Hill</t>
  </si>
  <si>
    <t>98-858-6323</t>
  </si>
  <si>
    <t>80729 Homewood Plaza</t>
  </si>
  <si>
    <t>92-995-8689</t>
  </si>
  <si>
    <t>1 Merchant Circle</t>
  </si>
  <si>
    <t>43-164-5984</t>
  </si>
  <si>
    <t>Shuffletag</t>
  </si>
  <si>
    <t>70862 Lighthouse Bay Junction</t>
  </si>
  <si>
    <t>58-122-2282</t>
  </si>
  <si>
    <t>96 American Ash Center</t>
  </si>
  <si>
    <t>84-269-9130</t>
  </si>
  <si>
    <t>49263 Graceland Pass</t>
  </si>
  <si>
    <t>11-922-3342</t>
  </si>
  <si>
    <t>Gabspot</t>
  </si>
  <si>
    <t>094 Carberry Lane</t>
  </si>
  <si>
    <t>60-550-4771</t>
  </si>
  <si>
    <t>Kwimbee</t>
  </si>
  <si>
    <t>1 Monica Lane</t>
  </si>
  <si>
    <t>88-951-9038</t>
  </si>
  <si>
    <t>5 Anderson Trail</t>
  </si>
  <si>
    <t>08-114-3922</t>
  </si>
  <si>
    <t>709 Vidon Avenue</t>
  </si>
  <si>
    <t>70-145-2550</t>
  </si>
  <si>
    <t>5141 Anniversary Crossing</t>
  </si>
  <si>
    <t>51-761-6320</t>
  </si>
  <si>
    <t>Youopia</t>
  </si>
  <si>
    <t>587 Vermont Terrace</t>
  </si>
  <si>
    <t>55-803-3964</t>
  </si>
  <si>
    <t>149 Valley Edge Point</t>
  </si>
  <si>
    <t>11-815-7923</t>
  </si>
  <si>
    <t>89 Springs Alley</t>
  </si>
  <si>
    <t>83-966-3280</t>
  </si>
  <si>
    <t>Twitterworks</t>
  </si>
  <si>
    <t>0743 4th Place</t>
  </si>
  <si>
    <t>29-592-7315</t>
  </si>
  <si>
    <t>Dabtype</t>
  </si>
  <si>
    <t>21625 Schlimgen Park</t>
  </si>
  <si>
    <t>65-235-7676</t>
  </si>
  <si>
    <t>31208 Westerfield Way</t>
  </si>
  <si>
    <t>40-683-0283</t>
  </si>
  <si>
    <t>322 Birchwood Center</t>
  </si>
  <si>
    <t>83-553-9523</t>
  </si>
  <si>
    <t>84336 Haas Place</t>
  </si>
  <si>
    <t>40-793-7235</t>
  </si>
  <si>
    <t>68086 Crowley Circle</t>
  </si>
  <si>
    <t>74-666-5671</t>
  </si>
  <si>
    <t>11263 Kipling Hill</t>
  </si>
  <si>
    <t>90-865-9150</t>
  </si>
  <si>
    <t>Kazu</t>
  </si>
  <si>
    <t>00029 Fisk Point</t>
  </si>
  <si>
    <t>46-255-3073</t>
  </si>
  <si>
    <t>57 Eastwood Junction</t>
  </si>
  <si>
    <t>11-155-7826</t>
  </si>
  <si>
    <t>321 Barby Parkway</t>
  </si>
  <si>
    <t>99-543-5039</t>
  </si>
  <si>
    <t>71796 Waubesa Terrace</t>
  </si>
  <si>
    <t>99-033-5661</t>
  </si>
  <si>
    <t>289 Longview Point</t>
  </si>
  <si>
    <t>28-608-0039</t>
  </si>
  <si>
    <t>Avavee</t>
  </si>
  <si>
    <t>31057 Roth Place</t>
  </si>
  <si>
    <t>35-529-2933</t>
  </si>
  <si>
    <t>2 School Drive</t>
  </si>
  <si>
    <t>83-321-7887</t>
  </si>
  <si>
    <t>35598 Fuller Terrace</t>
  </si>
  <si>
    <t>43-910-2342</t>
  </si>
  <si>
    <t>46758 Hallows Center</t>
  </si>
  <si>
    <t>21-633-8696</t>
  </si>
  <si>
    <t>08492 Gateway Terrace</t>
  </si>
  <si>
    <t>76-401-7083</t>
  </si>
  <si>
    <t>31892 Pennsylvania Street</t>
  </si>
  <si>
    <t>92-551-8504</t>
  </si>
  <si>
    <t>461 Bluejay Circle</t>
  </si>
  <si>
    <t>76-264-0748</t>
  </si>
  <si>
    <t>55 Morning Terrace</t>
  </si>
  <si>
    <t>88-586-8797</t>
  </si>
  <si>
    <t>9469 Bayside Plaza</t>
  </si>
  <si>
    <t>21-993-5632</t>
  </si>
  <si>
    <t>Innotype</t>
  </si>
  <si>
    <t>16730 Luster Alley</t>
  </si>
  <si>
    <t>27-681-5588</t>
  </si>
  <si>
    <t>498 Delladonna Drive</t>
  </si>
  <si>
    <t>23-265-8144</t>
  </si>
  <si>
    <t>14042 Dottie Avenue</t>
  </si>
  <si>
    <t>26-134-9069</t>
  </si>
  <si>
    <t>Devcast</t>
  </si>
  <si>
    <t>4929 Westend Point</t>
  </si>
  <si>
    <t>76-623-7844</t>
  </si>
  <si>
    <t>868 Swallow Point</t>
  </si>
  <si>
    <t>88-977-0175</t>
  </si>
  <si>
    <t>7561 5th Terrace</t>
  </si>
  <si>
    <t>12-714-5135</t>
  </si>
  <si>
    <t>2003 Delladonna Pass</t>
  </si>
  <si>
    <t>43-153-8268</t>
  </si>
  <si>
    <t>29815 Bonner Trail</t>
  </si>
  <si>
    <t>95-130-9020</t>
  </si>
  <si>
    <t>Youbridge</t>
  </si>
  <si>
    <t>2 Canary Street</t>
  </si>
  <si>
    <t>82-678-8097</t>
  </si>
  <si>
    <t>6172 Hovde Circle</t>
  </si>
  <si>
    <t>21-693-8216</t>
  </si>
  <si>
    <t>Twinte</t>
  </si>
  <si>
    <t>32468 Utah Pass</t>
  </si>
  <si>
    <t>56-831-6199</t>
  </si>
  <si>
    <t>1247 Hoard Hill</t>
  </si>
  <si>
    <t>81-268-5905</t>
  </si>
  <si>
    <t>Kazio</t>
  </si>
  <si>
    <t>85953 Clyde Gallagher Drive</t>
  </si>
  <si>
    <t>41-237-5498</t>
  </si>
  <si>
    <t>29817 Coleman Drive</t>
  </si>
  <si>
    <t>32-987-5559</t>
  </si>
  <si>
    <t>7 Hallows Alley</t>
  </si>
  <si>
    <t>71-436-5841</t>
  </si>
  <si>
    <t>52 Victoria Plaza</t>
  </si>
  <si>
    <t>63-890-1246</t>
  </si>
  <si>
    <t>3 Melrose Trail</t>
  </si>
  <si>
    <t>65-368-2479</t>
  </si>
  <si>
    <t>Browsedrive</t>
  </si>
  <si>
    <t>231 Merry Pass</t>
  </si>
  <si>
    <t>74-562-7431</t>
  </si>
  <si>
    <t>Linkbridge</t>
  </si>
  <si>
    <t>79 Ronald Regan Avenue</t>
  </si>
  <si>
    <t>51-583-6029</t>
  </si>
  <si>
    <t>83894 Delaware Plaza</t>
  </si>
  <si>
    <t>06-996-3221</t>
  </si>
  <si>
    <t>579 Schlimgen Alley</t>
  </si>
  <si>
    <t>96-334-2593</t>
  </si>
  <si>
    <t>9559 Muir Trail</t>
  </si>
  <si>
    <t>58-219-0241</t>
  </si>
  <si>
    <t>938 Garrison Court</t>
  </si>
  <si>
    <t>87-272-6544</t>
  </si>
  <si>
    <t>4 Nelson Alley</t>
  </si>
  <si>
    <t>95-357-2870</t>
  </si>
  <si>
    <t>87 Corben Street</t>
  </si>
  <si>
    <t>88-401-3700</t>
  </si>
  <si>
    <t>39014 Randy Court</t>
  </si>
  <si>
    <t>72-404-5581</t>
  </si>
  <si>
    <t>879 Amoth Terrace</t>
  </si>
  <si>
    <t>11-766-8738</t>
  </si>
  <si>
    <t>20 Nelson Way</t>
  </si>
  <si>
    <t>15-796-3130</t>
  </si>
  <si>
    <t>85 Lunder Court</t>
  </si>
  <si>
    <t>73-751-4393</t>
  </si>
  <si>
    <t>03 Roth Court</t>
  </si>
  <si>
    <t>62-100-2245</t>
  </si>
  <si>
    <t>56830 Fremont Road</t>
  </si>
  <si>
    <t>08-961-3009</t>
  </si>
  <si>
    <t>01 Gateway Plaza</t>
  </si>
  <si>
    <t>33-440-2588</t>
  </si>
  <si>
    <t>Tagpad</t>
  </si>
  <si>
    <t>4 6th Plaza</t>
  </si>
  <si>
    <t>24-009-1208</t>
  </si>
  <si>
    <t>Aivee</t>
  </si>
  <si>
    <t>99 Duke Lane</t>
  </si>
  <si>
    <t>71-300-2191</t>
  </si>
  <si>
    <t>7 Heffernan Drive</t>
  </si>
  <si>
    <t>74-430-8245</t>
  </si>
  <si>
    <t>7 Roxbury Circle</t>
  </si>
  <si>
    <t>68-636-4774</t>
  </si>
  <si>
    <t>7744 Oxford Pass</t>
  </si>
  <si>
    <t>38-655-2312</t>
  </si>
  <si>
    <t>17 Reinke Circle</t>
  </si>
  <si>
    <t>16-632-1308</t>
  </si>
  <si>
    <t>60094 Goodland Junction</t>
  </si>
  <si>
    <t>37-606-0510</t>
  </si>
  <si>
    <t>Jabbercube</t>
  </si>
  <si>
    <t>53 Homewood Alley</t>
  </si>
  <si>
    <t>36-296-9609</t>
  </si>
  <si>
    <t>7 Rutledge Pass</t>
  </si>
  <si>
    <t>22-329-7791</t>
  </si>
  <si>
    <t>50687 Porter Park</t>
  </si>
  <si>
    <t>56-894-3733</t>
  </si>
  <si>
    <t>897 Independence Circle</t>
  </si>
  <si>
    <t>06-858-5680</t>
  </si>
  <si>
    <t>49476 Tony Hill</t>
  </si>
  <si>
    <t>71-954-4501</t>
  </si>
  <si>
    <t>290 Rusk Avenue</t>
  </si>
  <si>
    <t>12-046-2988</t>
  </si>
  <si>
    <t>931 Browning Center</t>
  </si>
  <si>
    <t>95-356-1566</t>
  </si>
  <si>
    <t>622 Buena Vista Trail</t>
  </si>
  <si>
    <t>34-291-4939</t>
  </si>
  <si>
    <t>983 Sommers Circle</t>
  </si>
  <si>
    <t>35-621-2546</t>
  </si>
  <si>
    <t>Skiptube</t>
  </si>
  <si>
    <t>3 Fairfield Center</t>
  </si>
  <si>
    <t>21-013-3508</t>
  </si>
  <si>
    <t>84305 Fair Oaks Plaza</t>
  </si>
  <si>
    <t>38-049-9319</t>
  </si>
  <si>
    <t>6 Lillian Junction</t>
  </si>
  <si>
    <t>94-697-2396</t>
  </si>
  <si>
    <t>Zoomlounge</t>
  </si>
  <si>
    <t>44 Thompson Terrace</t>
  </si>
  <si>
    <t>33-807-7247</t>
  </si>
  <si>
    <t>63464 Jana Court</t>
  </si>
  <si>
    <t>62-816-8794</t>
  </si>
  <si>
    <t>04 Blaine Lane</t>
  </si>
  <si>
    <t>33-507-9886</t>
  </si>
  <si>
    <t>0584 Lindbergh Alley</t>
  </si>
  <si>
    <t>40-003-7322</t>
  </si>
  <si>
    <t>Wordtune</t>
  </si>
  <si>
    <t>2693 6th Court</t>
  </si>
  <si>
    <t>95-090-2788</t>
  </si>
  <si>
    <t>0313 Rockefeller Street</t>
  </si>
  <si>
    <t>06-503-5891</t>
  </si>
  <si>
    <t>49646 Derek Lane</t>
  </si>
  <si>
    <t>38-555-9147</t>
  </si>
  <si>
    <t>Aimbu</t>
  </si>
  <si>
    <t>0 Oneill Hill</t>
  </si>
  <si>
    <t>64-854-8664</t>
  </si>
  <si>
    <t>Pixoboo</t>
  </si>
  <si>
    <t>76 Independence Drive</t>
  </si>
  <si>
    <t>50-942-2409</t>
  </si>
  <si>
    <t>7182 Summit Court</t>
  </si>
  <si>
    <t>17-493-4579</t>
  </si>
  <si>
    <t>Trudoo</t>
  </si>
  <si>
    <t>4627 Amoth Circle</t>
  </si>
  <si>
    <t>10-854-5467</t>
  </si>
  <si>
    <t>3 Oakridge Parkway</t>
  </si>
  <si>
    <t>11-604-6002</t>
  </si>
  <si>
    <t>Kimia</t>
  </si>
  <si>
    <t>17640 Cottonwood Place</t>
  </si>
  <si>
    <t>44-305-1866</t>
  </si>
  <si>
    <t>51205 Rieder Junction</t>
  </si>
  <si>
    <t>49-730-0159</t>
  </si>
  <si>
    <t>Riffpedia</t>
  </si>
  <si>
    <t>09189 2nd Drive</t>
  </si>
  <si>
    <t>70-534-7796</t>
  </si>
  <si>
    <t>76106 Anthes Junction</t>
  </si>
  <si>
    <t>95-738-4658</t>
  </si>
  <si>
    <t>35 Golf Course Alley</t>
  </si>
  <si>
    <t>20-405-4865</t>
  </si>
  <si>
    <t>Centimia</t>
  </si>
  <si>
    <t>36483 Burning Wood Pass</t>
  </si>
  <si>
    <t>79-428-8753</t>
  </si>
  <si>
    <t>9 Holmberg Circle</t>
  </si>
  <si>
    <t>10-626-8536</t>
  </si>
  <si>
    <t>38583 2nd Pass</t>
  </si>
  <si>
    <t>27-216-9671</t>
  </si>
  <si>
    <t>4 Browning Terrace</t>
  </si>
  <si>
    <t>14-489-8669</t>
  </si>
  <si>
    <t>21629 Burrows Pass</t>
  </si>
  <si>
    <t>46-632-8420</t>
  </si>
  <si>
    <t>9 Meadow Ridge Center</t>
  </si>
  <si>
    <t>39-192-3521</t>
  </si>
  <si>
    <t>Dynazzy</t>
  </si>
  <si>
    <t>428 Oriole Avenue</t>
  </si>
  <si>
    <t>94-528-8088</t>
  </si>
  <si>
    <t>21379 Stoughton Junction</t>
  </si>
  <si>
    <t>74-305-1263</t>
  </si>
  <si>
    <t>744 Lakewood Gardens Crossing</t>
  </si>
  <si>
    <t>53-151-5726</t>
  </si>
  <si>
    <t>84239 Meadow Vale Trail</t>
  </si>
  <si>
    <t>02-085-7218</t>
  </si>
  <si>
    <t>Oyonder</t>
  </si>
  <si>
    <t>2835 Schlimgen Parkway</t>
  </si>
  <si>
    <t>77-777-4536</t>
  </si>
  <si>
    <t>4784 Farmco Alley</t>
  </si>
  <si>
    <t>86-482-6451</t>
  </si>
  <si>
    <t>5501 Fuller Way</t>
  </si>
  <si>
    <t>36-127-4273</t>
  </si>
  <si>
    <t>10342 Division Place</t>
  </si>
  <si>
    <t>03-061-1344</t>
  </si>
  <si>
    <t>96420 Briar Crest Lane</t>
  </si>
  <si>
    <t>97-300-7511</t>
  </si>
  <si>
    <t>45190 Fordem Court</t>
  </si>
  <si>
    <t>83-108-1174</t>
  </si>
  <si>
    <t>3 Monument Street</t>
  </si>
  <si>
    <t>38-664-2155</t>
  </si>
  <si>
    <t>843 Pepper Wood Hill</t>
  </si>
  <si>
    <t>80-459-5950</t>
  </si>
  <si>
    <t>Rhyzio</t>
  </si>
  <si>
    <t>5 Killdeer Trail</t>
  </si>
  <si>
    <t>93-015-0811</t>
  </si>
  <si>
    <t>1 Pleasure Hill</t>
  </si>
  <si>
    <t>02-888-9412</t>
  </si>
  <si>
    <t>880 Calypso Road</t>
  </si>
  <si>
    <t>10-218-2680</t>
  </si>
  <si>
    <t>6810 Aberg Junction</t>
  </si>
  <si>
    <t>30-964-2694</t>
  </si>
  <si>
    <t>Edgeclub</t>
  </si>
  <si>
    <t>39 Dovetail Terrace</t>
  </si>
  <si>
    <t>15-144-9413</t>
  </si>
  <si>
    <t>3 Buhler Place</t>
  </si>
  <si>
    <t>17-253-5688</t>
  </si>
  <si>
    <t>7 Hooker Way</t>
  </si>
  <si>
    <t>31-608-1445</t>
  </si>
  <si>
    <t>227 Tennyson Plaza</t>
  </si>
  <si>
    <t>51-934-9117</t>
  </si>
  <si>
    <t>05944 Scott Parkway</t>
  </si>
  <si>
    <t>72-810-9753</t>
  </si>
  <si>
    <t>545 Farwell Lane</t>
  </si>
  <si>
    <t>53-146-9979</t>
  </si>
  <si>
    <t>42 Mandrake Alley</t>
  </si>
  <si>
    <t>46-622-3434</t>
  </si>
  <si>
    <t>Topdrive</t>
  </si>
  <si>
    <t>2 Miller Lane</t>
  </si>
  <si>
    <t>47-843-8207</t>
  </si>
  <si>
    <t>01 Northfield Road</t>
  </si>
  <si>
    <t>29-135-0791</t>
  </si>
  <si>
    <t>97 Utah Lane</t>
  </si>
  <si>
    <t>45-194-4094</t>
  </si>
  <si>
    <t>2 Scofield Street</t>
  </si>
  <si>
    <t>09-712-3630</t>
  </si>
  <si>
    <t>10 Golf Course Hill</t>
  </si>
  <si>
    <t>56-213-0577</t>
  </si>
  <si>
    <t>851 Hollow Ridge Center</t>
  </si>
  <si>
    <t>78-956-4737</t>
  </si>
  <si>
    <t>9 Burrows Junction</t>
  </si>
  <si>
    <t>29-436-6570</t>
  </si>
  <si>
    <t>30590 Bowman Alley</t>
  </si>
  <si>
    <t>04-038-1547</t>
  </si>
  <si>
    <t>76 Shelley Pass</t>
  </si>
  <si>
    <t>76-476-9996</t>
  </si>
  <si>
    <t>0 Larry Terrace</t>
  </si>
  <si>
    <t>43-469-7551</t>
  </si>
  <si>
    <t>760 Butternut Plaza</t>
  </si>
  <si>
    <t>15-169-8058</t>
  </si>
  <si>
    <t>26160 Independence Alley</t>
  </si>
  <si>
    <t>37-567-3218</t>
  </si>
  <si>
    <t>153 Caliangt Plaza</t>
  </si>
  <si>
    <t>92-455-2959</t>
  </si>
  <si>
    <t>0 Ohio Hill</t>
  </si>
  <si>
    <t>75-672-4378</t>
  </si>
  <si>
    <t>Eare</t>
  </si>
  <si>
    <t>4 Esch Point</t>
  </si>
  <si>
    <t>66-806-6051</t>
  </si>
  <si>
    <t>8 Kensington Place</t>
  </si>
  <si>
    <t>65-527-9488</t>
  </si>
  <si>
    <t>23704 Algoma Park</t>
  </si>
  <si>
    <t>36-840-2728</t>
  </si>
  <si>
    <t>Dabfeed</t>
  </si>
  <si>
    <t>08545 Lillian Street</t>
  </si>
  <si>
    <t>07-389-5740</t>
  </si>
  <si>
    <t>59 Veith Center</t>
  </si>
  <si>
    <t>13-144-2169</t>
  </si>
  <si>
    <t>Blogpad</t>
  </si>
  <si>
    <t>52 Namekagon Junction</t>
  </si>
  <si>
    <t>13-798-3397</t>
  </si>
  <si>
    <t>Twimm</t>
  </si>
  <si>
    <t>93321 Kennedy Point</t>
  </si>
  <si>
    <t>85-806-0613</t>
  </si>
  <si>
    <t>9269 Main Trail</t>
  </si>
  <si>
    <t>67-248-6306</t>
  </si>
  <si>
    <t>Avamm</t>
  </si>
  <si>
    <t>05 Bartelt Street</t>
  </si>
  <si>
    <t>47-866-6589</t>
  </si>
  <si>
    <t>30880 Barnett Junction</t>
  </si>
  <si>
    <t>91-127-7489</t>
  </si>
  <si>
    <t>43211 Anzinger Drive</t>
  </si>
  <si>
    <t>90-343-9640</t>
  </si>
  <si>
    <t>3622 Anhalt Lane</t>
  </si>
  <si>
    <t>01-018-6418</t>
  </si>
  <si>
    <t>481 Mifflin Hill</t>
  </si>
  <si>
    <t>80-375-9075</t>
  </si>
  <si>
    <t>3831 Goodland Road</t>
  </si>
  <si>
    <t>80-227-6886</t>
  </si>
  <si>
    <t>4374 Corry Terrace</t>
  </si>
  <si>
    <t>15-562-3712</t>
  </si>
  <si>
    <t>1 Hudson Hill</t>
  </si>
  <si>
    <t>10-137-9759</t>
  </si>
  <si>
    <t>Trupe</t>
  </si>
  <si>
    <t>402 Kings Road</t>
  </si>
  <si>
    <t>69-171-1305</t>
  </si>
  <si>
    <t>9951 Petterle Alley</t>
  </si>
  <si>
    <t>83-117-7658</t>
  </si>
  <si>
    <t>Yabox</t>
  </si>
  <si>
    <t>0282 Emmet Hill</t>
  </si>
  <si>
    <t>74-642-2435</t>
  </si>
  <si>
    <t>6292 Chive Street</t>
  </si>
  <si>
    <t>10-445-0741</t>
  </si>
  <si>
    <t>31 Loomis Park</t>
  </si>
  <si>
    <t>80-658-6456</t>
  </si>
  <si>
    <t>44051 Old Shore Junction</t>
  </si>
  <si>
    <t>81-354-4203</t>
  </si>
  <si>
    <t>12 Luster Terrace</t>
  </si>
  <si>
    <t>08-573-9997</t>
  </si>
  <si>
    <t>03 Little Fleur Pass</t>
  </si>
  <si>
    <t>74-610-2295</t>
  </si>
  <si>
    <t>Lajo</t>
  </si>
  <si>
    <t>87 Bluestem Parkway</t>
  </si>
  <si>
    <t>76-070-1411</t>
  </si>
  <si>
    <t>87578 Stoughton Parkway</t>
  </si>
  <si>
    <t>61-582-7399</t>
  </si>
  <si>
    <t>Topiczoom</t>
  </si>
  <si>
    <t>8 Hanover Center</t>
  </si>
  <si>
    <t>42-674-3917</t>
  </si>
  <si>
    <t>78 Forest Dale Road</t>
  </si>
  <si>
    <t>05-899-1428</t>
  </si>
  <si>
    <t>591 Maple Junction</t>
  </si>
  <si>
    <t>74-548-9313</t>
  </si>
  <si>
    <t>1 Judy Street</t>
  </si>
  <si>
    <t>20-448-2972</t>
  </si>
  <si>
    <t>Buzzbean</t>
  </si>
  <si>
    <t>49770 Hoffman Court</t>
  </si>
  <si>
    <t>63-162-9244</t>
  </si>
  <si>
    <t>04 Rockefeller Terrace</t>
  </si>
  <si>
    <t>91-417-0366</t>
  </si>
  <si>
    <t>1 Elmside Parkway</t>
  </si>
  <si>
    <t>60-311-5701</t>
  </si>
  <si>
    <t>9 Meadow Vale Drive</t>
  </si>
  <si>
    <t>36-899-5324</t>
  </si>
  <si>
    <t>Flashdog</t>
  </si>
  <si>
    <t>3 Bashford Court</t>
  </si>
  <si>
    <t>22-266-9291</t>
  </si>
  <si>
    <t>111 David Hill</t>
  </si>
  <si>
    <t>76-584-4790</t>
  </si>
  <si>
    <t>1170 Shasta Circle</t>
  </si>
  <si>
    <t>82-948-2298</t>
  </si>
  <si>
    <t>555 Butternut Hill</t>
  </si>
  <si>
    <t>97-283-4840</t>
  </si>
  <si>
    <t>7232 Ridgeway Center</t>
  </si>
  <si>
    <t>17-395-1121</t>
  </si>
  <si>
    <t>8 Oriole Terrace</t>
  </si>
  <si>
    <t>74-132-5528</t>
  </si>
  <si>
    <t>611 Fieldstone Drive</t>
  </si>
  <si>
    <t>52-029-2382</t>
  </si>
  <si>
    <t>Brightdog</t>
  </si>
  <si>
    <t>08896 Evergreen Avenue</t>
  </si>
  <si>
    <t>11-053-0107</t>
  </si>
  <si>
    <t>Cherry</t>
  </si>
  <si>
    <t>734 Thackeray Avenue</t>
  </si>
  <si>
    <t>99-194-5600</t>
  </si>
  <si>
    <t>973 Spaight Place</t>
  </si>
  <si>
    <t>48-289-0604</t>
  </si>
  <si>
    <t>5 Colorado Park</t>
  </si>
  <si>
    <t>73-010-8323</t>
  </si>
  <si>
    <t>Tagcat</t>
  </si>
  <si>
    <t>811 Dapin Center</t>
  </si>
  <si>
    <t>06-068-6793</t>
  </si>
  <si>
    <t>25 Nancy Place</t>
  </si>
  <si>
    <t>56-054-8664</t>
  </si>
  <si>
    <t>01 Straubel Hill</t>
  </si>
  <si>
    <t>36-330-5036</t>
  </si>
  <si>
    <t>Mycat</t>
  </si>
  <si>
    <t>21 Golden Leaf Hill</t>
  </si>
  <si>
    <t>65-674-6076</t>
  </si>
  <si>
    <t>9738 Old Shore Trail</t>
  </si>
  <si>
    <t>87-013-6488</t>
  </si>
  <si>
    <t>Tekfly</t>
  </si>
  <si>
    <t>07855 Goodland Lane</t>
  </si>
  <si>
    <t>95-449-1286</t>
  </si>
  <si>
    <t>Egg (Chicken)</t>
  </si>
  <si>
    <t>Realfire</t>
  </si>
  <si>
    <t>1 Jackson Pass</t>
  </si>
  <si>
    <t>95-640-0293</t>
  </si>
  <si>
    <t>31 Sullivan Hill</t>
  </si>
  <si>
    <t>08-495-6853</t>
  </si>
  <si>
    <t>7943 Amoth Parkway</t>
  </si>
  <si>
    <t>42-495-7698</t>
  </si>
  <si>
    <t>91 Gateway Pass</t>
  </si>
  <si>
    <t>83-727-0814</t>
  </si>
  <si>
    <t>28 Boyd Pass</t>
  </si>
  <si>
    <t>01-050-2246</t>
  </si>
  <si>
    <t>38 Esch Pass</t>
  </si>
  <si>
    <t>07-858-5487</t>
  </si>
  <si>
    <t>6 Susan Alley</t>
  </si>
  <si>
    <t>20-283-0111</t>
  </si>
  <si>
    <t>Cogidoo</t>
  </si>
  <si>
    <t>0 Ruskin Way</t>
  </si>
  <si>
    <t>87-391-9658</t>
  </si>
  <si>
    <t>92486 Laurel Alley</t>
  </si>
  <si>
    <t>44-782-1395</t>
  </si>
  <si>
    <t>365 Vera Terrace</t>
  </si>
  <si>
    <t>12-828-1063</t>
  </si>
  <si>
    <t>018 Oxford Crossing</t>
  </si>
  <si>
    <t>72-989-2512</t>
  </si>
  <si>
    <t>Yakijo</t>
  </si>
  <si>
    <t>61 Waubesa Court</t>
  </si>
  <si>
    <t>53-667-4109</t>
  </si>
  <si>
    <t>992 East Point</t>
  </si>
  <si>
    <t>93-772-3085</t>
  </si>
  <si>
    <t>Edgetag</t>
  </si>
  <si>
    <t>07359 Porter Park</t>
  </si>
  <si>
    <t>92-652-3737</t>
  </si>
  <si>
    <t>Quimm</t>
  </si>
  <si>
    <t>66330 Northridge Street</t>
  </si>
  <si>
    <t>74-404-0582</t>
  </si>
  <si>
    <t>07 Maple Wood Drive</t>
  </si>
  <si>
    <t>19-244-9890</t>
  </si>
  <si>
    <t>Wikido</t>
  </si>
  <si>
    <t>620 Mockingbird Pass</t>
  </si>
  <si>
    <t>01-839-6534</t>
  </si>
  <si>
    <t>8 Hazelcrest Street</t>
  </si>
  <si>
    <t>58-229-1358</t>
  </si>
  <si>
    <t>1 Lillian Plaza</t>
  </si>
  <si>
    <t>80-025-6757</t>
  </si>
  <si>
    <t>Thoughtmix</t>
  </si>
  <si>
    <t>183 Algoma Trail</t>
  </si>
  <si>
    <t>35-031-1497</t>
  </si>
  <si>
    <t>581 Oneill Crossing</t>
  </si>
  <si>
    <t>26-629-5920</t>
  </si>
  <si>
    <t>77563 Russell Lane</t>
  </si>
  <si>
    <t>51-000-8113</t>
  </si>
  <si>
    <t>51369 Dawn Hill</t>
  </si>
  <si>
    <t>93-571-7294</t>
  </si>
  <si>
    <t>76 Fisk Park</t>
  </si>
  <si>
    <t>48-770-6319</t>
  </si>
  <si>
    <t>34 Fremont Point</t>
  </si>
  <si>
    <t>74-818-3306</t>
  </si>
  <si>
    <t>Eabox</t>
  </si>
  <si>
    <t>62 Thackeray Center</t>
  </si>
  <si>
    <t>15-082-9124</t>
  </si>
  <si>
    <t>LiveZ</t>
  </si>
  <si>
    <t>38 Dawn Street</t>
  </si>
  <si>
    <t>66-854-5736</t>
  </si>
  <si>
    <t>50880 Nobel Road</t>
  </si>
  <si>
    <t>90-128-7973</t>
  </si>
  <si>
    <t>46989 Crescent Oaks Junction</t>
  </si>
  <si>
    <t>60-198-7050</t>
  </si>
  <si>
    <t>5306 Arkansas Avenue</t>
  </si>
  <si>
    <t>70-206-4860</t>
  </si>
  <si>
    <t>Meejo</t>
  </si>
  <si>
    <t>75 High Crossing Junction</t>
  </si>
  <si>
    <t>25-353-2067</t>
  </si>
  <si>
    <t>59449 Sherman Parkway</t>
  </si>
  <si>
    <t>93-218-8108</t>
  </si>
  <si>
    <t>9848 Little Fleur Point</t>
  </si>
  <si>
    <t>95-262-6208</t>
  </si>
  <si>
    <t>44662 American Plaza</t>
  </si>
  <si>
    <t>02-484-0206</t>
  </si>
  <si>
    <t>60 Main Pass</t>
  </si>
  <si>
    <t>08-226-5155</t>
  </si>
  <si>
    <t>81503 Graedel Plaza</t>
  </si>
  <si>
    <t>47-581-0363</t>
  </si>
  <si>
    <t>8 Dawn Court</t>
  </si>
  <si>
    <t>04-104-6993</t>
  </si>
  <si>
    <t>55095 Northview Drive</t>
  </si>
  <si>
    <t>45-380-4627</t>
  </si>
  <si>
    <t>0 Thackeray Point</t>
  </si>
  <si>
    <t>41-240-8856</t>
  </si>
  <si>
    <t>8 Autumn Leaf Drive</t>
  </si>
  <si>
    <t>81-573-0943</t>
  </si>
  <si>
    <t>20 Marcy Circle</t>
  </si>
  <si>
    <t>67-725-6830</t>
  </si>
  <si>
    <t>9 Victoria Point</t>
  </si>
  <si>
    <t>55-154-4728</t>
  </si>
  <si>
    <t>96 Westridge Junction</t>
  </si>
  <si>
    <t>41-526-4036</t>
  </si>
  <si>
    <t>38726 Gina Pass</t>
  </si>
  <si>
    <t>86-273-9377</t>
  </si>
  <si>
    <t>1 Hollow Ridge Park</t>
  </si>
  <si>
    <t>98-499-2220</t>
  </si>
  <si>
    <t>27 School Court</t>
  </si>
  <si>
    <t>50-930-4751</t>
  </si>
  <si>
    <t>80380 Valley Edge Road</t>
  </si>
  <si>
    <t>88-304-2855</t>
  </si>
  <si>
    <t>0 Delladonna Place</t>
  </si>
  <si>
    <t>69-743-0161</t>
  </si>
  <si>
    <t>583 Loftsgordon Road</t>
  </si>
  <si>
    <t>40-902-1995</t>
  </si>
  <si>
    <t>Zoomzone</t>
  </si>
  <si>
    <t>1519 Delaware Court</t>
  </si>
  <si>
    <t>50-329-3360</t>
  </si>
  <si>
    <t>72 Crownhardt Circle</t>
  </si>
  <si>
    <t>03-441-4252</t>
  </si>
  <si>
    <t>6 Bobwhite Alley</t>
  </si>
  <si>
    <t>97-093-4278</t>
  </si>
  <si>
    <t>Twitterlist</t>
  </si>
  <si>
    <t>467 Dexter Pass</t>
  </si>
  <si>
    <t>01-820-5784</t>
  </si>
  <si>
    <t>6982 Crownhardt Circle</t>
  </si>
  <si>
    <t>31-803-5001</t>
  </si>
  <si>
    <t>Voonder</t>
  </si>
  <si>
    <t>64 1st Plaza</t>
  </si>
  <si>
    <t>61-317-9944</t>
  </si>
  <si>
    <t>21844 Artisan Trail</t>
  </si>
  <si>
    <t>56-303-5256</t>
  </si>
  <si>
    <t>3 Hermina Circle</t>
  </si>
  <si>
    <t>86-672-4191</t>
  </si>
  <si>
    <t>Einti</t>
  </si>
  <si>
    <t>18 Troy Avenue</t>
  </si>
  <si>
    <t>34-547-0827</t>
  </si>
  <si>
    <t>18 Comanche Junction</t>
  </si>
  <si>
    <t>20-387-7746</t>
  </si>
  <si>
    <t>9050 Dorton Pass</t>
  </si>
  <si>
    <t>50-329-3145</t>
  </si>
  <si>
    <t>591 Maple Wood Drive</t>
  </si>
  <si>
    <t>02-559-8196</t>
  </si>
  <si>
    <t>545 Linden Alley</t>
  </si>
  <si>
    <t>69-834-2874</t>
  </si>
  <si>
    <t>39 Oxford Drive</t>
  </si>
  <si>
    <t>27-474-0056</t>
  </si>
  <si>
    <t>538 Bayside Parkway</t>
  </si>
  <si>
    <t>66-378-7532</t>
  </si>
  <si>
    <t>88678 Bayside Park</t>
  </si>
  <si>
    <t>28-185-7303</t>
  </si>
  <si>
    <t>25696 Westerfield Alley</t>
  </si>
  <si>
    <t>19-854-3663</t>
  </si>
  <si>
    <t>4 Dakota Avenue</t>
  </si>
  <si>
    <t>42-175-1648</t>
  </si>
  <si>
    <t>72778 Loftsgordon Center</t>
  </si>
  <si>
    <t>56-657-4387</t>
  </si>
  <si>
    <t>5 Lyons Street</t>
  </si>
  <si>
    <t>05-720-8792</t>
  </si>
  <si>
    <t>2 Northview Avenue</t>
  </si>
  <si>
    <t>84-151-2114</t>
  </si>
  <si>
    <t>12 Rigney Street</t>
  </si>
  <si>
    <t>10-378-9729</t>
  </si>
  <si>
    <t>2 Butterfield Pass</t>
  </si>
  <si>
    <t>53-930-2215</t>
  </si>
  <si>
    <t>Gabvine</t>
  </si>
  <si>
    <t>292 Utah Street</t>
  </si>
  <si>
    <t>02-034-6209</t>
  </si>
  <si>
    <t>Yodel</t>
  </si>
  <si>
    <t>96 Brown Drive</t>
  </si>
  <si>
    <t>28-003-8065</t>
  </si>
  <si>
    <t>Voonte</t>
  </si>
  <si>
    <t>65 Merry Circle</t>
  </si>
  <si>
    <t>19-021-5024</t>
  </si>
  <si>
    <t>4 Heffernan Lane</t>
  </si>
  <si>
    <t>07-846-4804</t>
  </si>
  <si>
    <t>2 Fair Oaks Pass</t>
  </si>
  <si>
    <t>70-542-4269</t>
  </si>
  <si>
    <t>7 Victoria Hill</t>
  </si>
  <si>
    <t>52-797-6961</t>
  </si>
  <si>
    <t>13799 Quincy Park</t>
  </si>
  <si>
    <t>66-327-2821</t>
  </si>
  <si>
    <t>703 Hermina Center</t>
  </si>
  <si>
    <t>12-093-9863</t>
  </si>
  <si>
    <t>Feednation</t>
  </si>
  <si>
    <t>6748 Mitchell Road</t>
  </si>
  <si>
    <t>08-396-2704</t>
  </si>
  <si>
    <t>160 Crowley Center</t>
  </si>
  <si>
    <t>72-970-0239</t>
  </si>
  <si>
    <t>Divanoodle</t>
  </si>
  <si>
    <t>73966 Pond Trail</t>
  </si>
  <si>
    <t>03-940-0630</t>
  </si>
  <si>
    <t>27408 Burning Wood Street</t>
  </si>
  <si>
    <t>67-130-4114</t>
  </si>
  <si>
    <t>9327 Hanover Way</t>
  </si>
  <si>
    <t>32-270-1385</t>
  </si>
  <si>
    <t>Quaxo</t>
  </si>
  <si>
    <t>0500 Calypso Pass</t>
  </si>
  <si>
    <t>85-510-2915</t>
  </si>
  <si>
    <t>8 Merrick Lane</t>
  </si>
  <si>
    <t>00-842-9790</t>
  </si>
  <si>
    <t>53894 Myrtle Place</t>
  </si>
  <si>
    <t>49-377-9731</t>
  </si>
  <si>
    <t>Livefish</t>
  </si>
  <si>
    <t>3 Meadow Valley Court</t>
  </si>
  <si>
    <t>96-682-8546</t>
  </si>
  <si>
    <t>Kaymbo</t>
  </si>
  <si>
    <t>97 Walton Avenue</t>
  </si>
  <si>
    <t>92-837-8839</t>
  </si>
  <si>
    <t>95 Lerdahl Park</t>
  </si>
  <si>
    <t>68-732-5919</t>
  </si>
  <si>
    <t>56 Bonner Point</t>
  </si>
  <si>
    <t>37-064-7275</t>
  </si>
  <si>
    <t>149 Lawn Way</t>
  </si>
  <si>
    <t>43-193-9915</t>
  </si>
  <si>
    <t>Roodel</t>
  </si>
  <si>
    <t>61 Transport Parkway</t>
  </si>
  <si>
    <t>45-992-5653</t>
  </si>
  <si>
    <t>Jaxworks</t>
  </si>
  <si>
    <t>5 Fisk Point</t>
  </si>
  <si>
    <t>45-852-2446</t>
  </si>
  <si>
    <t>Fanoodle</t>
  </si>
  <si>
    <t>56 Petterle Circle</t>
  </si>
  <si>
    <t>57-394-4703</t>
  </si>
  <si>
    <t>Agivu</t>
  </si>
  <si>
    <t>38 Banding Lane</t>
  </si>
  <si>
    <t>07-679-1199</t>
  </si>
  <si>
    <t>1991 Kropf Way</t>
  </si>
  <si>
    <t>47-221-3391</t>
  </si>
  <si>
    <t>0023 Upham Road</t>
  </si>
  <si>
    <t>80-698-0324</t>
  </si>
  <si>
    <t>Bluejam</t>
  </si>
  <si>
    <t>7 Duke Parkway</t>
  </si>
  <si>
    <t>36-383-3677</t>
  </si>
  <si>
    <t>7 Anzinger Lane</t>
  </si>
  <si>
    <t>42-907-6946</t>
  </si>
  <si>
    <t>093 Anhalt Crossing</t>
  </si>
  <si>
    <t>96-209-1739</t>
  </si>
  <si>
    <t>779 Ridgeway Street</t>
  </si>
  <si>
    <t>36-679-4670</t>
  </si>
  <si>
    <t>Fatz</t>
  </si>
  <si>
    <t>5 Warner Court</t>
  </si>
  <si>
    <t>08-637-9335</t>
  </si>
  <si>
    <t>9 Cardinal Alley</t>
  </si>
  <si>
    <t>56-875-3717</t>
  </si>
  <si>
    <t>32 Cottonwood Pass</t>
  </si>
  <si>
    <t>86-978-6666</t>
  </si>
  <si>
    <t>21343 Brentwood Circle</t>
  </si>
  <si>
    <t>41-475-5305</t>
  </si>
  <si>
    <t>Kwideo</t>
  </si>
  <si>
    <t>88 Hooker Parkway</t>
  </si>
  <si>
    <t>25-911-7736</t>
  </si>
  <si>
    <t>72090 Northfield Place</t>
  </si>
  <si>
    <t>28-433-8533</t>
  </si>
  <si>
    <t>Topicware</t>
  </si>
  <si>
    <t>8 Mayer Trail</t>
  </si>
  <si>
    <t>84-624-0201</t>
  </si>
  <si>
    <t>Skaboo</t>
  </si>
  <si>
    <t>9 Eastlawn Crossing</t>
  </si>
  <si>
    <t>45-634-0679</t>
  </si>
  <si>
    <t>Rhybox</t>
  </si>
  <si>
    <t>9 Anhalt Trail</t>
  </si>
  <si>
    <t>93-014-4256</t>
  </si>
  <si>
    <t>6 Bay Road</t>
  </si>
  <si>
    <t>24-989-3302</t>
  </si>
  <si>
    <t>Eazzy</t>
  </si>
  <si>
    <t>736 Redwing Parkway</t>
  </si>
  <si>
    <t>46-415-8633</t>
  </si>
  <si>
    <t>5 Eggendart Parkway</t>
  </si>
  <si>
    <t>73-117-6105</t>
  </si>
  <si>
    <t>955 4th Road</t>
  </si>
  <si>
    <t>53-710-7630</t>
  </si>
  <si>
    <t>996 Thierer Center</t>
  </si>
  <si>
    <t>10-617-7581</t>
  </si>
  <si>
    <t>0 Lawn Parkway</t>
  </si>
  <si>
    <t>66-312-5511</t>
  </si>
  <si>
    <t>959 Dorton Pass</t>
  </si>
  <si>
    <t>87-423-8486</t>
  </si>
  <si>
    <t>5 Homewood Street</t>
  </si>
  <si>
    <t>64-493-5270</t>
  </si>
  <si>
    <t>4571 Fremont Way</t>
  </si>
  <si>
    <t>31-255-9616</t>
  </si>
  <si>
    <t>9440 Coleman Drive</t>
  </si>
  <si>
    <t>26-799-3714</t>
  </si>
  <si>
    <t>Mymm</t>
  </si>
  <si>
    <t>49225 Homewood Place</t>
  </si>
  <si>
    <t>64-119-7804</t>
  </si>
  <si>
    <t>Jaxbean</t>
  </si>
  <si>
    <t>06584 Mendota Avenue</t>
  </si>
  <si>
    <t>74-181-4135</t>
  </si>
  <si>
    <t>79878 Katie Trail</t>
  </si>
  <si>
    <t>34-369-7712</t>
  </si>
  <si>
    <t>0 Lerdahl Parkway</t>
  </si>
  <si>
    <t>31-157-1822</t>
  </si>
  <si>
    <t>803 Cottonwood Crossing</t>
  </si>
  <si>
    <t>27-459-0724</t>
  </si>
  <si>
    <t>4 Duke Way</t>
  </si>
  <si>
    <t>47-441-7682</t>
  </si>
  <si>
    <t>4247 David Crossing</t>
  </si>
  <si>
    <t>32-676-1026</t>
  </si>
  <si>
    <t>9433 Jenna Lane</t>
  </si>
  <si>
    <t>77-959-1018</t>
  </si>
  <si>
    <t>03 Ryan Circle</t>
  </si>
  <si>
    <t>60-911-3745</t>
  </si>
  <si>
    <t>75054 Ramsey Parkway</t>
  </si>
  <si>
    <t>57-101-0060</t>
  </si>
  <si>
    <t>78919 East Crossing</t>
  </si>
  <si>
    <t>54-758-4622</t>
  </si>
  <si>
    <t>865 Eagle Crest Park</t>
  </si>
  <si>
    <t>92-152-5820</t>
  </si>
  <si>
    <t>0920 Monica Pass</t>
  </si>
  <si>
    <t>44-637-5512</t>
  </si>
  <si>
    <t>00064 Mosinee Circle</t>
  </si>
  <si>
    <t>65-854-9364</t>
  </si>
  <si>
    <t>752 Mccormick Way</t>
  </si>
  <si>
    <t>60-747-8704</t>
  </si>
  <si>
    <t>561 Pennsylvania Way</t>
  </si>
  <si>
    <t>85-835-3445</t>
  </si>
  <si>
    <t>288 Fair Oaks Place</t>
  </si>
  <si>
    <t>66-716-8221</t>
  </si>
  <si>
    <t>54 Weeping Birch Lane</t>
  </si>
  <si>
    <t>01-026-2772</t>
  </si>
  <si>
    <t>3 Bunting Point</t>
  </si>
  <si>
    <t>21-252-1360</t>
  </si>
  <si>
    <t>32 Charing Cross Pass</t>
  </si>
  <si>
    <t>80-039-1261</t>
  </si>
  <si>
    <t>1 Havey Park</t>
  </si>
  <si>
    <t>48-427-0551</t>
  </si>
  <si>
    <t>2 7th Center</t>
  </si>
  <si>
    <t>02-575-1980</t>
  </si>
  <si>
    <t>Yambee</t>
  </si>
  <si>
    <t>34832 Autumn Leaf Terrace</t>
  </si>
  <si>
    <t>61-293-6327</t>
  </si>
  <si>
    <t>4353 Dixon Circle</t>
  </si>
  <si>
    <t>08-519-5579</t>
  </si>
  <si>
    <t>89 Karstens Alley</t>
  </si>
  <si>
    <t>33-670-6797</t>
  </si>
  <si>
    <t>2869 Hudson Drive</t>
  </si>
  <si>
    <t>29-741-8132</t>
  </si>
  <si>
    <t>85 Farwell Parkway</t>
  </si>
  <si>
    <t>89-713-6071</t>
  </si>
  <si>
    <t>60 Dottie Hill</t>
  </si>
  <si>
    <t>00-641-8691</t>
  </si>
  <si>
    <t>797 Mcbride Lane</t>
  </si>
  <si>
    <t>68-977-6854</t>
  </si>
  <si>
    <t>2633 Shasta Alley</t>
  </si>
  <si>
    <t>86-257-4613</t>
  </si>
  <si>
    <t>5 Prentice Pass</t>
  </si>
  <si>
    <t>06-340-6856</t>
  </si>
  <si>
    <t>Podcat</t>
  </si>
  <si>
    <t>84 Rusk Terrace</t>
  </si>
  <si>
    <t>11-338-4598</t>
  </si>
  <si>
    <t>9067 Valley Edge Park</t>
  </si>
  <si>
    <t>82-711-0772</t>
  </si>
  <si>
    <t>463 Oxford Crossing</t>
  </si>
  <si>
    <t>05-184-4175</t>
  </si>
  <si>
    <t>57 Di Loreto Circle</t>
  </si>
  <si>
    <t>17-274-6898</t>
  </si>
  <si>
    <t>657 Texas Street</t>
  </si>
  <si>
    <t>79-569-8856</t>
  </si>
  <si>
    <t>03643 Oakridge Lane</t>
  </si>
  <si>
    <t>00-534-9775</t>
  </si>
  <si>
    <t>68 Dakota Center</t>
  </si>
  <si>
    <t>94-071-2261</t>
  </si>
  <si>
    <t>2004 Cody Plaza</t>
  </si>
  <si>
    <t>94-355-3070</t>
  </si>
  <si>
    <t>116 Spaight Park</t>
  </si>
  <si>
    <t>17-265-1899</t>
  </si>
  <si>
    <t>4826 Drewry Center</t>
  </si>
  <si>
    <t>13-888-0149</t>
  </si>
  <si>
    <t>1 Logan Road</t>
  </si>
  <si>
    <t>21-890-2826</t>
  </si>
  <si>
    <t>84 Hoffman Way</t>
  </si>
  <si>
    <t>05-425-0746</t>
  </si>
  <si>
    <t>49884 Brickson Park Plaza</t>
  </si>
  <si>
    <t>88-807-8431</t>
  </si>
  <si>
    <t>2 Russell Alley</t>
  </si>
  <si>
    <t>77-377-1659</t>
  </si>
  <si>
    <t>6 Acker Street</t>
  </si>
  <si>
    <t>92-362-3567</t>
  </si>
  <si>
    <t>826 Melvin Pass</t>
  </si>
  <si>
    <t>99-961-0767</t>
  </si>
  <si>
    <t>Tambee</t>
  </si>
  <si>
    <t>40113 Blaine Place</t>
  </si>
  <si>
    <t>94-092-3355</t>
  </si>
  <si>
    <t>929 Thierer Lane</t>
  </si>
  <si>
    <t>29-344-3658</t>
  </si>
  <si>
    <t>7 Talmadge Street</t>
  </si>
  <si>
    <t>60-327-4114</t>
  </si>
  <si>
    <t>3 Bellgrove Way</t>
  </si>
  <si>
    <t>13-409-9040</t>
  </si>
  <si>
    <t>Jazzy</t>
  </si>
  <si>
    <t>9623 Cottonwood Park</t>
  </si>
  <si>
    <t>75-927-9108</t>
  </si>
  <si>
    <t>43 Washington Street</t>
  </si>
  <si>
    <t>30-806-3823</t>
  </si>
  <si>
    <t>07 Pankratz Point</t>
  </si>
  <si>
    <t>65-780-5622</t>
  </si>
  <si>
    <t>65 Forster Way</t>
  </si>
  <si>
    <t>94-598-3383</t>
  </si>
  <si>
    <t>7403 Fuller Hill</t>
  </si>
  <si>
    <t>45-250-4679</t>
  </si>
  <si>
    <t>49148 Meadow Ridge Way</t>
  </si>
  <si>
    <t>45-317-9731</t>
  </si>
  <si>
    <t>Wordware</t>
  </si>
  <si>
    <t>70156 7th Junction</t>
  </si>
  <si>
    <t>41-131-3841</t>
  </si>
  <si>
    <t>16 Fair Oaks Pass</t>
  </si>
  <si>
    <t>15-905-7750</t>
  </si>
  <si>
    <t>36687 Maple Avenue</t>
  </si>
  <si>
    <t>68-973-8812</t>
  </si>
  <si>
    <t>55 Cherokee Circle</t>
  </si>
  <si>
    <t>49-570-8214</t>
  </si>
  <si>
    <t>1823 Elgar Park</t>
  </si>
  <si>
    <t>57-779-4955</t>
  </si>
  <si>
    <t>38436 Anthes Way</t>
  </si>
  <si>
    <t>85-781-5386</t>
  </si>
  <si>
    <t>10577 Thierer Plaza</t>
  </si>
  <si>
    <t>72-341-1154</t>
  </si>
  <si>
    <t>8682 Golf Course Junction</t>
  </si>
  <si>
    <t>28-986-8001</t>
  </si>
  <si>
    <t>4 Old Shore Avenue</t>
  </si>
  <si>
    <t>82-811-7988</t>
  </si>
  <si>
    <t>65 Chinook Circle</t>
  </si>
  <si>
    <t>27-495-1912</t>
  </si>
  <si>
    <t>Thoughtbridge</t>
  </si>
  <si>
    <t>12710 Gulseth Circle</t>
  </si>
  <si>
    <t>44-480-9446</t>
  </si>
  <si>
    <t>43591 East Road</t>
  </si>
  <si>
    <t>77-937-1108</t>
  </si>
  <si>
    <t>01 Hansons Crossing</t>
  </si>
  <si>
    <t>82-538-4809</t>
  </si>
  <si>
    <t>700 Northland Crossing</t>
  </si>
  <si>
    <t>69-895-3397</t>
  </si>
  <si>
    <t>98 Melody Street</t>
  </si>
  <si>
    <t>44-112-3331</t>
  </si>
  <si>
    <t>63787 Arkansas Street</t>
  </si>
  <si>
    <t>93-682-2069</t>
  </si>
  <si>
    <t>2718 Londonderry Plaza</t>
  </si>
  <si>
    <t>49-199-6836</t>
  </si>
  <si>
    <t>77 Brown Circle</t>
  </si>
  <si>
    <t>47-221-2470</t>
  </si>
  <si>
    <t>Teklist</t>
  </si>
  <si>
    <t>60 Messerschmidt Pass</t>
  </si>
  <si>
    <t>71-067-3278</t>
  </si>
  <si>
    <t>5521 Wayridge Center</t>
  </si>
  <si>
    <t>89-388-3239</t>
  </si>
  <si>
    <t>4346 Columbus Way</t>
  </si>
  <si>
    <t>10-555-5971</t>
  </si>
  <si>
    <t>8425 New Castle Parkway</t>
  </si>
  <si>
    <t>82-931-7126</t>
  </si>
  <si>
    <t>856 School Plaza</t>
  </si>
  <si>
    <t>24-228-6840</t>
  </si>
  <si>
    <t>Myworks</t>
  </si>
  <si>
    <t>68241 Hanson Circle</t>
  </si>
  <si>
    <t>52-392-5312</t>
  </si>
  <si>
    <t>336 Old Shore Lane</t>
  </si>
  <si>
    <t>36-531-4087</t>
  </si>
  <si>
    <t>2 Columbus Drive</t>
  </si>
  <si>
    <t>39-810-2042</t>
  </si>
  <si>
    <t>47817 Oneill Park</t>
  </si>
  <si>
    <t>55-164-7723</t>
  </si>
  <si>
    <t>6410 Northwestern Pass</t>
  </si>
  <si>
    <t>61-680-9496</t>
  </si>
  <si>
    <t>2 Northridge Street</t>
  </si>
  <si>
    <t>24-143-4957</t>
  </si>
  <si>
    <t>685 Independence Junction</t>
  </si>
  <si>
    <t>26-456-1992</t>
  </si>
  <si>
    <t>1792 Crownhardt Street</t>
  </si>
  <si>
    <t>62-998-7250</t>
  </si>
  <si>
    <t>9171 Redwing Street</t>
  </si>
  <si>
    <t>38-617-7226</t>
  </si>
  <si>
    <t>33145 Butterfield Avenue</t>
  </si>
  <si>
    <t>00-366-9496</t>
  </si>
  <si>
    <t>898 Rowland Trail</t>
  </si>
  <si>
    <t>76-027-4850</t>
  </si>
  <si>
    <t>425 Shasta Terrace</t>
  </si>
  <si>
    <t>27-269-5260</t>
  </si>
  <si>
    <t>1661 Springview Terrace</t>
  </si>
  <si>
    <t>40-126-0515</t>
  </si>
  <si>
    <t>28351 Cascade Plaza</t>
  </si>
  <si>
    <t>31-387-5020</t>
  </si>
  <si>
    <t>854 Kipling Point</t>
  </si>
  <si>
    <t>13-673-7016</t>
  </si>
  <si>
    <t>04 Hagan Crossing</t>
  </si>
  <si>
    <t>85-212-2729</t>
  </si>
  <si>
    <t>93 Longview Junction</t>
  </si>
  <si>
    <t>99-048-8310</t>
  </si>
  <si>
    <t>43 Lakewood Junction</t>
  </si>
  <si>
    <t>19-112-1616</t>
  </si>
  <si>
    <t>7698 Logan Drive</t>
  </si>
  <si>
    <t>98-546-7398</t>
  </si>
  <si>
    <t>Thoughtworks</t>
  </si>
  <si>
    <t>15658 Talisman Lane</t>
  </si>
  <si>
    <t>63-874-9747</t>
  </si>
  <si>
    <t>183 Buell Park</t>
  </si>
  <si>
    <t>58-946-5152</t>
  </si>
  <si>
    <t>06 Lake View Trail</t>
  </si>
  <si>
    <t>65-867-4029</t>
  </si>
  <si>
    <t>36124 Carberry Junction</t>
  </si>
  <si>
    <t>89-328-9019</t>
  </si>
  <si>
    <t>33774 Carberry Circle</t>
  </si>
  <si>
    <t>02-170-5225</t>
  </si>
  <si>
    <t>36 Bobwhite Parkway</t>
  </si>
  <si>
    <t>24-478-8277</t>
  </si>
  <si>
    <t>55276 Golf Hill</t>
  </si>
  <si>
    <t>91-290-9062</t>
  </si>
  <si>
    <t>9821 Novick Hill</t>
  </si>
  <si>
    <t>44-546-5713</t>
  </si>
  <si>
    <t>832 Goodland Alley</t>
  </si>
  <si>
    <t>20-031-0532</t>
  </si>
  <si>
    <t>8239 Laurel Way</t>
  </si>
  <si>
    <t>48-242-8445</t>
  </si>
  <si>
    <t>29 Vera Drive</t>
  </si>
  <si>
    <t>33-378-1365</t>
  </si>
  <si>
    <t>23560 Talmadge Center</t>
  </si>
  <si>
    <t>57-763-5501</t>
  </si>
  <si>
    <t>46 Colorado Place</t>
  </si>
  <si>
    <t>71-015-9181</t>
  </si>
  <si>
    <t>62238 Mallory Place</t>
  </si>
  <si>
    <t>14-115-8371</t>
  </si>
  <si>
    <t>40 Cody Pass</t>
  </si>
  <si>
    <t>83-568-3475</t>
  </si>
  <si>
    <t>29150 Farmco Crossing</t>
  </si>
  <si>
    <t>79-884-8810</t>
  </si>
  <si>
    <t>546 Declaration Place</t>
  </si>
  <si>
    <t>50-772-2613</t>
  </si>
  <si>
    <t>7 Lunder Hill</t>
  </si>
  <si>
    <t>19-377-5021</t>
  </si>
  <si>
    <t>884 Sloan Drive</t>
  </si>
  <si>
    <t>39-913-2999</t>
  </si>
  <si>
    <t>15 Oriole Park</t>
  </si>
  <si>
    <t>46-911-1159</t>
  </si>
  <si>
    <t>9171 Norway Maple Trail</t>
  </si>
  <si>
    <t>40-630-1431</t>
  </si>
  <si>
    <t>8119 Homewood Drive</t>
  </si>
  <si>
    <t>15-797-4824</t>
  </si>
  <si>
    <t>Mudo</t>
  </si>
  <si>
    <t>25923 Loeprich Junction</t>
  </si>
  <si>
    <t>37-248-6266</t>
  </si>
  <si>
    <t>7051 Calypso Place</t>
  </si>
  <si>
    <t>22-760-4605</t>
  </si>
  <si>
    <t>09264 Forest Dale Drive</t>
  </si>
  <si>
    <t>80-020-8041</t>
  </si>
  <si>
    <t>662 Vernon Point</t>
  </si>
  <si>
    <t>44-634-8292</t>
  </si>
  <si>
    <t>46 Orin Drive</t>
  </si>
  <si>
    <t>19-610-2236</t>
  </si>
  <si>
    <t>8524 Shelley Way</t>
  </si>
  <si>
    <t>49-579-4325</t>
  </si>
  <si>
    <t>6 Anniversary Circle</t>
  </si>
  <si>
    <t>42-134-9798</t>
  </si>
  <si>
    <t>0087 Bluejay Plaza</t>
  </si>
  <si>
    <t>84-546-7624</t>
  </si>
  <si>
    <t>61057 Hallows Junction</t>
  </si>
  <si>
    <t>11-891-8213</t>
  </si>
  <si>
    <t>13 Westport Hill</t>
  </si>
  <si>
    <t>03-597-9488</t>
  </si>
  <si>
    <t>53 Lawn Circle</t>
  </si>
  <si>
    <t>89-624-7462</t>
  </si>
  <si>
    <t>25 Drewry Alley</t>
  </si>
  <si>
    <t>89-335-0155</t>
  </si>
  <si>
    <t>9 Kipling Road</t>
  </si>
  <si>
    <t>59-725-4038</t>
  </si>
  <si>
    <t>Zoozzy</t>
  </si>
  <si>
    <t>697 Hoepker Center</t>
  </si>
  <si>
    <t>78-953-2073</t>
  </si>
  <si>
    <t>085 Reinke Pass</t>
  </si>
  <si>
    <t>91-426-3204</t>
  </si>
  <si>
    <t>269 Dakota Trail</t>
  </si>
  <si>
    <t>40-913-9772</t>
  </si>
  <si>
    <t>553 Hooker Trail</t>
  </si>
  <si>
    <t>89-922-4773</t>
  </si>
  <si>
    <t>11 Thackeray Hill</t>
  </si>
  <si>
    <t>17-236-0566</t>
  </si>
  <si>
    <t>803 5th Alley</t>
  </si>
  <si>
    <t>74-234-0628</t>
  </si>
  <si>
    <t>2 Veith Crossing</t>
  </si>
  <si>
    <t>80-441-7249</t>
  </si>
  <si>
    <t>652 High Crossing Lane</t>
  </si>
  <si>
    <t>54-708-7327</t>
  </si>
  <si>
    <t>8182 Hazelcrest Place</t>
  </si>
  <si>
    <t>15-846-7959</t>
  </si>
  <si>
    <t>6251 Eliot Hill</t>
  </si>
  <si>
    <t>44-368-7112</t>
  </si>
  <si>
    <t>82 Hintze Court</t>
  </si>
  <si>
    <t>03-833-3577</t>
  </si>
  <si>
    <t>38 Killdeer Point</t>
  </si>
  <si>
    <t>47-548-6500</t>
  </si>
  <si>
    <t>06 Shopko Pass</t>
  </si>
  <si>
    <t>12-342-4482</t>
  </si>
  <si>
    <t>374 Blue Bill Park Point</t>
  </si>
  <si>
    <t>07-834-3320</t>
  </si>
  <si>
    <t>79 Monterey Avenue</t>
  </si>
  <si>
    <t>16-187-5729</t>
  </si>
  <si>
    <t>Zoombeat</t>
  </si>
  <si>
    <t>22555 Macpherson Plaza</t>
  </si>
  <si>
    <t>64-109-7362</t>
  </si>
  <si>
    <t>7 Harper Drive</t>
  </si>
  <si>
    <t>06-655-5498</t>
  </si>
  <si>
    <t>8569 Bashford Court</t>
  </si>
  <si>
    <t>24-975-4231</t>
  </si>
  <si>
    <t>62494 Longview Drive</t>
  </si>
  <si>
    <t>98-652-9569</t>
  </si>
  <si>
    <t>Ooba</t>
  </si>
  <si>
    <t>32 6th Lane</t>
  </si>
  <si>
    <t>25-522-6043</t>
  </si>
  <si>
    <t>890 Eggendart Pass</t>
  </si>
  <si>
    <t>28-275-5901</t>
  </si>
  <si>
    <t>4 Doe Crossing Avenue</t>
  </si>
  <si>
    <t>96-164-0607</t>
  </si>
  <si>
    <t>1275 Lawn Center</t>
  </si>
  <si>
    <t>93-815-0565</t>
  </si>
  <si>
    <t>8868 Armistice Place</t>
  </si>
  <si>
    <t>63-918-8253</t>
  </si>
  <si>
    <t>917 Westerfield Terrace</t>
  </si>
  <si>
    <t>57-167-0669</t>
  </si>
  <si>
    <t>1005 Lyons Junction</t>
  </si>
  <si>
    <t>52-402-9245</t>
  </si>
  <si>
    <t>185 Stone Corner Parkway</t>
  </si>
  <si>
    <t>17-647-0503</t>
  </si>
  <si>
    <t>0 Village Green Street</t>
  </si>
  <si>
    <t>67-984-5368</t>
  </si>
  <si>
    <t>Yakidoo</t>
  </si>
  <si>
    <t>0 Fordem Place</t>
  </si>
  <si>
    <t>77-827-0820</t>
  </si>
  <si>
    <t>8851 Superior Park</t>
  </si>
  <si>
    <t>27-387-0428</t>
  </si>
  <si>
    <t>1715 Dottie Pass</t>
  </si>
  <si>
    <t>79-350-5841</t>
  </si>
  <si>
    <t>75 Cascade Avenue</t>
  </si>
  <si>
    <t>44-128-2185</t>
  </si>
  <si>
    <t>012 Mockingbird Court</t>
  </si>
  <si>
    <t>48-789-9187</t>
  </si>
  <si>
    <t>41 Stephen Crossing</t>
  </si>
  <si>
    <t>21-809-7115</t>
  </si>
  <si>
    <t>3053 Sachs Center</t>
  </si>
  <si>
    <t>19-323-0506</t>
  </si>
  <si>
    <t>5 Ohio Lane</t>
  </si>
  <si>
    <t>04-637-8815</t>
  </si>
  <si>
    <t>537 Maple Alley</t>
  </si>
  <si>
    <t>60-644-6596</t>
  </si>
  <si>
    <t>22 Hudson Pass</t>
  </si>
  <si>
    <t>58-005-5343</t>
  </si>
  <si>
    <t>43211 Lakeland Place</t>
  </si>
  <si>
    <t>67-382-4435</t>
  </si>
  <si>
    <t>Fivespan</t>
  </si>
  <si>
    <t>92 Bartelt Terrace</t>
  </si>
  <si>
    <t>09-335-7793</t>
  </si>
  <si>
    <t>5649 Vidon Plaza</t>
  </si>
  <si>
    <t>46-496-2930</t>
  </si>
  <si>
    <t>156 Golf Course Alley</t>
  </si>
  <si>
    <t>35-353-4068</t>
  </si>
  <si>
    <t>8583 Northwestern Terrace</t>
  </si>
  <si>
    <t>45-050-4720</t>
  </si>
  <si>
    <t>7 Ridge Oak Pass</t>
  </si>
  <si>
    <t>87-104-0187</t>
  </si>
  <si>
    <t>0 Moose Lane</t>
  </si>
  <si>
    <t>85-806-8672</t>
  </si>
  <si>
    <t>24 South Trail</t>
  </si>
  <si>
    <t>54-281-3746</t>
  </si>
  <si>
    <t>00 Ridgeway Plaza</t>
  </si>
  <si>
    <t>35-257-9312</t>
  </si>
  <si>
    <t>9463 Northland Court</t>
  </si>
  <si>
    <t>63-897-8088</t>
  </si>
  <si>
    <t>7944 Elgar Alley</t>
  </si>
  <si>
    <t>24-986-5091</t>
  </si>
  <si>
    <t>88 Lighthouse Bay Crossing</t>
  </si>
  <si>
    <t>17-504-3699</t>
  </si>
  <si>
    <t>18 Daystar Parkway</t>
  </si>
  <si>
    <t>23-395-3157</t>
  </si>
  <si>
    <t>74 Sugar Plaza</t>
  </si>
  <si>
    <t>28-107-4953</t>
  </si>
  <si>
    <t>Babbleblab</t>
  </si>
  <si>
    <t>29755 Daystar Street</t>
  </si>
  <si>
    <t>46-083-7058</t>
  </si>
  <si>
    <t>21530 Prentice Place</t>
  </si>
  <si>
    <t>68-436-1268</t>
  </si>
  <si>
    <t>1 Mockingbird Parkway</t>
  </si>
  <si>
    <t>93-198-5984</t>
  </si>
  <si>
    <t>54706 Prairieview Point</t>
  </si>
  <si>
    <t>24-571-1080</t>
  </si>
  <si>
    <t>5325 Milwaukee Lane</t>
  </si>
  <si>
    <t>73-874-7534</t>
  </si>
  <si>
    <t>901 Norway Maple Crossing</t>
  </si>
  <si>
    <t>07-337-9889</t>
  </si>
  <si>
    <t>4 Loomis Way</t>
  </si>
  <si>
    <t>28-197-9246</t>
  </si>
  <si>
    <t>8499 Hanover Terrace</t>
  </si>
  <si>
    <t>83-400-9746</t>
  </si>
  <si>
    <t>40 Merchant Terrace</t>
  </si>
  <si>
    <t>24-579-6500</t>
  </si>
  <si>
    <t>4 Stang Place</t>
  </si>
  <si>
    <t>64-418-8356</t>
  </si>
  <si>
    <t>1 Green Hill</t>
  </si>
  <si>
    <t>15-884-7413</t>
  </si>
  <si>
    <t>6225 Westend Pass</t>
  </si>
  <si>
    <t>79-494-2472</t>
  </si>
  <si>
    <t>1615 Bellgrove Crossing</t>
  </si>
  <si>
    <t>36-177-0573</t>
  </si>
  <si>
    <t>35 Portage Road</t>
  </si>
  <si>
    <t>79-920-2395</t>
  </si>
  <si>
    <t>911 Merry Junction</t>
  </si>
  <si>
    <t>96-961-2193</t>
  </si>
  <si>
    <t>Babbleset</t>
  </si>
  <si>
    <t>63578 Butternut Hill</t>
  </si>
  <si>
    <t>69-578-7930</t>
  </si>
  <si>
    <t>83291 Hansons Crossing</t>
  </si>
  <si>
    <t>40-205-8252</t>
  </si>
  <si>
    <t>883 Marcy Place</t>
  </si>
  <si>
    <t>18-107-7886</t>
  </si>
  <si>
    <t>55309 6th Junction</t>
  </si>
  <si>
    <t>35-328-8392</t>
  </si>
  <si>
    <t>09 Londonderry Hill</t>
  </si>
  <si>
    <t>21-650-9319</t>
  </si>
  <si>
    <t>4 Hagan Court</t>
  </si>
  <si>
    <t>99-894-4351</t>
  </si>
  <si>
    <t>185 Saint Paul Road</t>
  </si>
  <si>
    <t>63-168-6018</t>
  </si>
  <si>
    <t>0847 Artisan Hill</t>
  </si>
  <si>
    <t>26-000-1012</t>
  </si>
  <si>
    <t>3 Bayside Point</t>
  </si>
  <si>
    <t>13-900-9016</t>
  </si>
  <si>
    <t>Meetz</t>
  </si>
  <si>
    <t>521 Burning Wood Trail</t>
  </si>
  <si>
    <t>88-408-0310</t>
  </si>
  <si>
    <t>5 Mesta Center</t>
  </si>
  <si>
    <t>73-997-6251</t>
  </si>
  <si>
    <t>1666 Dayton Terrace</t>
  </si>
  <si>
    <t>50-679-2072</t>
  </si>
  <si>
    <t>20 Butterfield Lane</t>
  </si>
  <si>
    <t>89-673-1543</t>
  </si>
  <si>
    <t>297 Petterle Way</t>
  </si>
  <si>
    <t>56-937-8675</t>
  </si>
  <si>
    <t>Trilith</t>
  </si>
  <si>
    <t>668 Claremont Place</t>
  </si>
  <si>
    <t>14-836-2894</t>
  </si>
  <si>
    <t>2 Hooker Terrace</t>
  </si>
  <si>
    <t>87-903-3486</t>
  </si>
  <si>
    <t>99 Twin Pines Alley</t>
  </si>
  <si>
    <t>07-617-6934</t>
  </si>
  <si>
    <t>9262 Sullivan Crossing</t>
  </si>
  <si>
    <t>31-403-6234</t>
  </si>
  <si>
    <t>35 Waxwing Center</t>
  </si>
  <si>
    <t>29-092-3453</t>
  </si>
  <si>
    <t>676 Redwing Trail</t>
  </si>
  <si>
    <t>34-709-9237</t>
  </si>
  <si>
    <t>1509 Hoard Circle</t>
  </si>
  <si>
    <t>13-962-6263</t>
  </si>
  <si>
    <t>7015 Ramsey Lane</t>
  </si>
  <si>
    <t>06-731-2162</t>
  </si>
  <si>
    <t>30968 Anzinger Court</t>
  </si>
  <si>
    <t>10-768-2443</t>
  </si>
  <si>
    <t>4 Orin Lane</t>
  </si>
  <si>
    <t>36-372-2295</t>
  </si>
  <si>
    <t>98 Bartillon Trail</t>
  </si>
  <si>
    <t>34-538-1180</t>
  </si>
  <si>
    <t>19 Aberg Trail</t>
  </si>
  <si>
    <t>98-148-0940</t>
  </si>
  <si>
    <t>588 Waywood Trail</t>
  </si>
  <si>
    <t>38-390-2115</t>
  </si>
  <si>
    <t>3 Del Mar Point</t>
  </si>
  <si>
    <t>02-974-8526</t>
  </si>
  <si>
    <t>42 Green Ridge Terrace</t>
  </si>
  <si>
    <t>29-377-7040</t>
  </si>
  <si>
    <t>9431 Clarendon Pass</t>
  </si>
  <si>
    <t>84-327-7787</t>
  </si>
  <si>
    <t>739 Rowland Way</t>
  </si>
  <si>
    <t>82-231-4245</t>
  </si>
  <si>
    <t>77 Monument Court</t>
  </si>
  <si>
    <t>70-005-5970</t>
  </si>
  <si>
    <t>82955 Dayton Street</t>
  </si>
  <si>
    <t>63-936-0145</t>
  </si>
  <si>
    <t>95 Kingsford Terrace</t>
  </si>
  <si>
    <t>08-196-2703</t>
  </si>
  <si>
    <t>56 Esker Park</t>
  </si>
  <si>
    <t>22-778-3553</t>
  </si>
  <si>
    <t>0782 Dapin Avenue</t>
  </si>
  <si>
    <t>37-610-1999</t>
  </si>
  <si>
    <t>3 John Wall Point</t>
  </si>
  <si>
    <t>09-618-2842</t>
  </si>
  <si>
    <t>642 Arizona Point</t>
  </si>
  <si>
    <t>28-968-4195</t>
  </si>
  <si>
    <t>5 Loftsgordon Trail</t>
  </si>
  <si>
    <t>55-680-0982</t>
  </si>
  <si>
    <t>0 Sutteridge Trail</t>
  </si>
  <si>
    <t>43-851-9440</t>
  </si>
  <si>
    <t>4033 Sloan Hill</t>
  </si>
  <si>
    <t>14-331-3739</t>
  </si>
  <si>
    <t>8 Thackeray Drive</t>
  </si>
  <si>
    <t>54-830-6971</t>
  </si>
  <si>
    <t>674 Ryan Alley</t>
  </si>
  <si>
    <t>53-008-2419</t>
  </si>
  <si>
    <t>63 Debra Park</t>
  </si>
  <si>
    <t>39-358-3340</t>
  </si>
  <si>
    <t>308 Doe Crossing Pass</t>
  </si>
  <si>
    <t>28-146-2641</t>
  </si>
  <si>
    <t>73 Graedel Street</t>
  </si>
  <si>
    <t>83-556-0996</t>
  </si>
  <si>
    <t>53 Forest Run Plaza</t>
  </si>
  <si>
    <t>53-805-9523</t>
  </si>
  <si>
    <t>94 Mallory Center</t>
  </si>
  <si>
    <t>82-977-7752</t>
  </si>
  <si>
    <t>58 Corscot Terrace</t>
  </si>
  <si>
    <t>62-393-9939</t>
  </si>
  <si>
    <t>Gabcube</t>
  </si>
  <si>
    <t>5 Oxford Pass</t>
  </si>
  <si>
    <t>31-745-6850</t>
  </si>
  <si>
    <t>081 Jana Lane</t>
  </si>
  <si>
    <t>86-692-2312</t>
  </si>
  <si>
    <t>00616 Manitowish Parkway</t>
  </si>
  <si>
    <t>28-044-4102</t>
  </si>
  <si>
    <t>309 Burning Wood Center</t>
  </si>
  <si>
    <t>Order_Date</t>
  </si>
  <si>
    <t>Status</t>
  </si>
  <si>
    <t>Out of stock flag</t>
  </si>
  <si>
    <t>KPIs</t>
  </si>
  <si>
    <t xml:space="preserve">Inventory Turnover </t>
  </si>
  <si>
    <t>Orders Fulfilled</t>
  </si>
  <si>
    <t>Orders Pending</t>
  </si>
  <si>
    <t>Average Delivery Time</t>
  </si>
  <si>
    <t xml:space="preserve">Order Fulfilled Rate </t>
  </si>
  <si>
    <t>Fulfilled/Pending</t>
  </si>
  <si>
    <t>Delivery Days</t>
  </si>
  <si>
    <t>Total orders</t>
  </si>
  <si>
    <t>Row Labels</t>
  </si>
  <si>
    <t>(blank)</t>
  </si>
  <si>
    <t>Grand Total</t>
  </si>
  <si>
    <t>Sum of Sales_Volume</t>
  </si>
  <si>
    <t>Fastest moving</t>
  </si>
  <si>
    <t>Slow moving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</si>
</sst>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);[Red]\(&quot;$&quot;#,##0.00\)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64" fontId="0" fillId="0" borderId="0" xfId="0" applyNumberFormat="1"/>
    <xf numFmtId="14" fontId="0" fillId="0" borderId="0" xfId="0" applyNumberFormat="1"/>
    <xf numFmtId="0" fontId="19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10" xfId="0" applyBorder="1" applyAlignment="1">
      <alignment horizontal="left"/>
    </xf>
    <xf numFmtId="0" fontId="0" fillId="0" borderId="10" xfId="0" applyBorder="1"/>
    <xf numFmtId="0" fontId="13" fillId="33" borderId="0" xfId="0" applyFont="1" applyFill="1"/>
    <xf numFmtId="0" fontId="13" fillId="34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64" formatCode="&quot;$&quot;#,##0.00_);[Red]\(&quot;$&quot;#,##0.0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eena Kotwani" refreshedDate="46063.471644097219" createdVersion="8" refreshedVersion="8" minRefreshableVersion="3" recordCount="991" xr:uid="{83736C8C-75C7-4E32-AFDE-70B87D3D40FD}">
  <cacheSource type="worksheet">
    <worksheetSource ref="A1:P1048576" sheet="Inventory Sales data"/>
  </cacheSource>
  <cacheFields count="16">
    <cacheField name="Product_ID" numFmtId="0">
      <sharedItems containsBlank="1"/>
    </cacheField>
    <cacheField name="Product_Name" numFmtId="0">
      <sharedItems containsBlank="1" count="122">
        <s v="Sushi Rice"/>
        <s v="Arabica Coffee"/>
        <s v="Black Rice"/>
        <s v="Long Grain Rice"/>
        <s v="Plum"/>
        <s v="All-Purpose Flour"/>
        <s v="Corn Oil"/>
        <s v="Egg (Goose)"/>
        <s v="Greek Yogurt"/>
        <s v="Egg (Duck)"/>
        <s v="White Sugar"/>
        <s v="Rye Bread"/>
        <s v="Strawberries"/>
        <s v="Feta Cheese"/>
        <s v="Bread Flour"/>
        <s v="Swiss Cheese"/>
        <s v="Spinach"/>
        <s v="Trout"/>
        <s v="Green Beans"/>
        <s v="Cabbage"/>
        <s v="Parmesan Cheese"/>
        <s v="Raw Sugar"/>
        <s v="Egg (Quail)"/>
        <s v="Mushrooms"/>
        <s v="Oatmeal Biscuit"/>
        <s v="Pear"/>
        <s v="Cucumber"/>
        <s v="Pineapple"/>
        <s v="Olive Oil"/>
        <s v="Herbal Tea"/>
        <s v="Haddock"/>
        <s v="Onion"/>
        <s v="Zucchini"/>
        <s v="Short Grain Rice"/>
        <s v="Mango"/>
        <s v="Lemon"/>
        <s v="Black Coffee"/>
        <s v="Butter"/>
        <s v="Multigrain Bread"/>
        <s v="Kiwi"/>
        <s v="Sourdough Bread"/>
        <s v="Orange"/>
        <s v="White Bread"/>
        <s v="Green Coffee"/>
        <s v="Sardines"/>
        <s v="Carrot"/>
        <s v="Black Tea"/>
        <s v="Ricotta Cheese"/>
        <s v="White Tea"/>
        <s v="Mozzarella Cheese"/>
        <s v="Broccoli"/>
        <s v="Eggplant"/>
        <s v="Heavy Cream"/>
        <s v="Bell Pepper"/>
        <s v="Arborio Rice"/>
        <s v="Potato"/>
        <s v="Butter Biscuit"/>
        <s v="Peas"/>
        <s v="Cream"/>
        <s v="Peanut Oil"/>
        <s v="Blueberries"/>
        <s v="Chocolate Biscuit"/>
        <s v="Cheese"/>
        <s v="Palm Oil"/>
        <s v="Garlic"/>
        <s v="Jasmine Rice"/>
        <s v="Rice Flour"/>
        <s v="Cottage Cheese"/>
        <s v="Whipped Cream"/>
        <s v="Almond Flour"/>
        <s v="Tilapia"/>
        <s v="Lettuce"/>
        <s v="Coconut"/>
        <s v="Cod"/>
        <s v="Banana"/>
        <s v="Pomegranate"/>
        <s v="Peach"/>
        <s v="White Rice"/>
        <s v="Cauliflower"/>
        <s v="Canola Oil"/>
        <s v="Avocado Oil"/>
        <s v="Gouda Cheese"/>
        <s v="Tuna"/>
        <s v="Buttermilk"/>
        <s v="Sour Cream"/>
        <s v="Green Tea"/>
        <s v="Powdered Sugar"/>
        <s v="Vegetable Oil"/>
        <s v="Cheddar Cheese"/>
        <s v="Egg (Turkey)"/>
        <s v="Sesame Oil"/>
        <s v="Asparagus"/>
        <s v="Whole Wheat Flour"/>
        <s v="Robusta Coffee"/>
        <s v="Watermelon"/>
        <s v="Anchovies"/>
        <s v="Basmati Rice"/>
        <s v="Sunflower Oil"/>
        <s v="Lime"/>
        <s v="Digestive Biscuit"/>
        <s v="Kale"/>
        <s v="Mackerel"/>
        <s v="Milk"/>
        <s v="Grapes"/>
        <s v="Brown Rice"/>
        <s v="Halibut"/>
        <s v="Apricot"/>
        <s v="Evaporated Milk"/>
        <s v="Papaya"/>
        <s v="Yogurt"/>
        <s v="Apple"/>
        <s v="Coconut Sugar"/>
        <s v="Tomato"/>
        <s v="Vanilla Biscuit"/>
        <s v="Wild Rice"/>
        <s v="Salmon"/>
        <s v="Sweet Potato"/>
        <s v="Coconut Oil"/>
        <s v="Whole Wheat Bread"/>
        <s v="Cherry"/>
        <s v="Egg (Chicken)"/>
        <m/>
      </sharedItems>
    </cacheField>
    <cacheField name="Catagory" numFmtId="0">
      <sharedItems containsBlank="1"/>
    </cacheField>
    <cacheField name="Supplier_Name" numFmtId="0">
      <sharedItems containsBlank="1"/>
    </cacheField>
    <cacheField name="Stock_Quantity" numFmtId="0">
      <sharedItems containsString="0" containsBlank="1" containsNumber="1" containsInteger="1" minValue="10" maxValue="100" count="92">
        <n v="22"/>
        <n v="45"/>
        <n v="30"/>
        <n v="12"/>
        <n v="37"/>
        <n v="55"/>
        <n v="96"/>
        <n v="44"/>
        <n v="91"/>
        <n v="43"/>
        <n v="62"/>
        <n v="26"/>
        <n v="95"/>
        <n v="54"/>
        <n v="94"/>
        <n v="27"/>
        <n v="49"/>
        <n v="65"/>
        <n v="72"/>
        <n v="81"/>
        <n v="88"/>
        <n v="63"/>
        <n v="31"/>
        <n v="97"/>
        <n v="16"/>
        <n v="77"/>
        <n v="19"/>
        <n v="18"/>
        <n v="47"/>
        <n v="46"/>
        <n v="39"/>
        <n v="75"/>
        <n v="48"/>
        <n v="61"/>
        <n v="60"/>
        <n v="24"/>
        <n v="84"/>
        <n v="51"/>
        <n v="67"/>
        <n v="14"/>
        <n v="92"/>
        <n v="41"/>
        <n v="85"/>
        <n v="59"/>
        <n v="28"/>
        <n v="82"/>
        <n v="100"/>
        <n v="99"/>
        <n v="13"/>
        <n v="73"/>
        <n v="29"/>
        <n v="35"/>
        <n v="89"/>
        <n v="20"/>
        <n v="38"/>
        <n v="21"/>
        <n v="64"/>
        <n v="66"/>
        <n v="53"/>
        <n v="74"/>
        <n v="52"/>
        <n v="56"/>
        <n v="58"/>
        <n v="57"/>
        <n v="33"/>
        <n v="23"/>
        <n v="86"/>
        <n v="70"/>
        <n v="34"/>
        <n v="40"/>
        <n v="79"/>
        <n v="25"/>
        <n v="15"/>
        <n v="11"/>
        <n v="50"/>
        <n v="68"/>
        <n v="80"/>
        <n v="76"/>
        <n v="10"/>
        <n v="69"/>
        <n v="36"/>
        <n v="93"/>
        <n v="90"/>
        <n v="42"/>
        <n v="98"/>
        <n v="17"/>
        <n v="71"/>
        <n v="78"/>
        <n v="83"/>
        <n v="87"/>
        <n v="32"/>
        <m/>
      </sharedItems>
    </cacheField>
    <cacheField name="Reorder_Level" numFmtId="0">
      <sharedItems containsString="0" containsBlank="1" containsNumber="1" containsInteger="1" minValue="1" maxValue="100"/>
    </cacheField>
    <cacheField name="Reorder_Quantity" numFmtId="0">
      <sharedItems containsString="0" containsBlank="1" containsNumber="1" containsInteger="1" minValue="1" maxValue="100"/>
    </cacheField>
    <cacheField name="Unit_Price" numFmtId="0">
      <sharedItems containsString="0" containsBlank="1" containsNumber="1" minValue="0.2" maxValue="98.43"/>
    </cacheField>
    <cacheField name="Order_Date" numFmtId="0">
      <sharedItems containsNonDate="0" containsDate="1" containsString="0" containsBlank="1" minDate="2024-02-25T00:00:00" maxDate="2025-02-25T00:00:00"/>
    </cacheField>
    <cacheField name="Warehouse_Location" numFmtId="0">
      <sharedItems containsBlank="1"/>
    </cacheField>
    <cacheField name="Sales_Volume" numFmtId="0">
      <sharedItems containsString="0" containsBlank="1" containsNumber="1" containsInteger="1" minValue="20" maxValue="100" count="82">
        <n v="32"/>
        <n v="85"/>
        <n v="31"/>
        <n v="95"/>
        <n v="62"/>
        <n v="34"/>
        <n v="67"/>
        <n v="21"/>
        <n v="56"/>
        <n v="27"/>
        <n v="100"/>
        <n v="47"/>
        <n v="69"/>
        <n v="63"/>
        <n v="20"/>
        <n v="66"/>
        <n v="78"/>
        <n v="46"/>
        <n v="29"/>
        <n v="82"/>
        <n v="52"/>
        <n v="73"/>
        <n v="59"/>
        <n v="97"/>
        <n v="94"/>
        <n v="50"/>
        <n v="61"/>
        <n v="42"/>
        <n v="25"/>
        <n v="65"/>
        <n v="60"/>
        <n v="43"/>
        <n v="51"/>
        <n v="79"/>
        <n v="39"/>
        <n v="40"/>
        <n v="37"/>
        <n v="44"/>
        <n v="24"/>
        <n v="38"/>
        <n v="96"/>
        <n v="35"/>
        <n v="57"/>
        <n v="30"/>
        <n v="64"/>
        <n v="84"/>
        <n v="54"/>
        <n v="93"/>
        <n v="83"/>
        <n v="74"/>
        <n v="76"/>
        <n v="26"/>
        <n v="86"/>
        <n v="72"/>
        <n v="90"/>
        <n v="33"/>
        <n v="91"/>
        <n v="92"/>
        <n v="68"/>
        <n v="53"/>
        <n v="98"/>
        <n v="23"/>
        <n v="80"/>
        <n v="58"/>
        <n v="28"/>
        <n v="49"/>
        <n v="36"/>
        <n v="48"/>
        <n v="81"/>
        <n v="41"/>
        <n v="22"/>
        <n v="75"/>
        <n v="89"/>
        <n v="70"/>
        <n v="88"/>
        <n v="71"/>
        <n v="77"/>
        <n v="99"/>
        <n v="45"/>
        <n v="55"/>
        <n v="87"/>
        <m/>
      </sharedItems>
    </cacheField>
    <cacheField name="Fulfilled/Pending" numFmtId="0">
      <sharedItems containsBlank="1"/>
    </cacheField>
    <cacheField name="Delivery Days" numFmtId="0">
      <sharedItems containsString="0" containsBlank="1" containsNumber="1" containsInteger="1" minValue="1" maxValue="8"/>
    </cacheField>
    <cacheField name="Inventory_Turnover_Rate" numFmtId="0">
      <sharedItems containsString="0" containsBlank="1" containsNumber="1" containsInteger="1" minValue="1" maxValue="100"/>
    </cacheField>
    <cacheField name="Status" numFmtId="0">
      <sharedItems containsBlank="1"/>
    </cacheField>
    <cacheField name="Out of stock flag" numFmtId="0">
      <sharedItems containsBlank="1"/>
    </cacheField>
  </cacheFields>
  <extLst>
    <ext xmlns:x14="http://schemas.microsoft.com/office/spreadsheetml/2009/9/main" uri="{725AE2AE-9491-48be-B2B4-4EB974FC3084}">
      <x14:pivotCacheDefinition pivotCacheId="33985799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1">
  <r>
    <s v="29-205-1132"/>
    <x v="0"/>
    <s v="Grains &amp; Pulses"/>
    <s v="Jaxnation"/>
    <x v="0"/>
    <n v="72"/>
    <n v="70"/>
    <n v="4.5"/>
    <d v="2024-06-29T00:00:00"/>
    <s v="48 Del Sol Trail"/>
    <x v="0"/>
    <s v="Pending"/>
    <n v="5"/>
    <n v="19"/>
    <s v="Reoeder required"/>
    <s v="Available"/>
  </r>
  <r>
    <s v="40-681-9981"/>
    <x v="1"/>
    <s v="Beverages"/>
    <s v="Feedmix"/>
    <x v="1"/>
    <n v="77"/>
    <n v="2"/>
    <n v="20"/>
    <d v="2024-05-29T00:00:00"/>
    <s v="36 3rd Place"/>
    <x v="1"/>
    <s v="Pending"/>
    <n v="6"/>
    <n v="1"/>
    <s v="Reoeder required"/>
    <s v="Available"/>
  </r>
  <r>
    <s v="06-955-3428"/>
    <x v="2"/>
    <s v="Grains &amp; Pulses"/>
    <s v="Vinder"/>
    <x v="2"/>
    <n v="38"/>
    <n v="83"/>
    <n v="6"/>
    <d v="2024-06-10T00:00:00"/>
    <s v="3296 Walton Court"/>
    <x v="2"/>
    <s v="Pending"/>
    <n v="8"/>
    <n v="34"/>
    <s v="Reoeder required"/>
    <s v="Available"/>
  </r>
  <r>
    <s v="71-594-6552"/>
    <x v="3"/>
    <s v="Grains &amp; Pulses"/>
    <s v="Brightbean"/>
    <x v="3"/>
    <n v="59"/>
    <n v="62"/>
    <n v="1.5"/>
    <d v="2025-02-19T00:00:00"/>
    <s v="3 Westerfield Crossing"/>
    <x v="3"/>
    <s v="Pending"/>
    <n v="6"/>
    <n v="99"/>
    <s v="Reoeder required"/>
    <s v="Available"/>
  </r>
  <r>
    <s v="57-437-1828"/>
    <x v="4"/>
    <s v="Fruits &amp; Vegetables"/>
    <s v="Topicstorm"/>
    <x v="4"/>
    <n v="30"/>
    <n v="74"/>
    <n v="4"/>
    <d v="2024-10-11T00:00:00"/>
    <s v="15068 Scoville Court"/>
    <x v="4"/>
    <s v="Pending"/>
    <n v="6"/>
    <n v="25"/>
    <s v="Sufficient"/>
    <s v="Available"/>
  </r>
  <r>
    <s v="21-120-6238"/>
    <x v="5"/>
    <s v="Grains &amp; Pulses"/>
    <s v="Dabjam"/>
    <x v="5"/>
    <n v="33"/>
    <n v="14"/>
    <n v="1.75"/>
    <d v="2024-05-26T00:00:00"/>
    <s v="050 Mcbride Avenue"/>
    <x v="5"/>
    <s v="Fulfilled"/>
    <n v="6"/>
    <n v="62"/>
    <s v="Sufficient"/>
    <s v="Available"/>
  </r>
  <r>
    <s v="71-516-1996"/>
    <x v="6"/>
    <s v="Oils &amp; Fats"/>
    <s v="Tagfeed"/>
    <x v="6"/>
    <n v="52"/>
    <n v="16"/>
    <n v="2.5"/>
    <d v="2024-05-07T00:00:00"/>
    <s v="12 Truax Court"/>
    <x v="6"/>
    <s v="Fulfilled"/>
    <n v="8"/>
    <n v="13"/>
    <s v="Sufficient"/>
    <s v="Available"/>
  </r>
  <r>
    <s v="39-629-5554"/>
    <x v="7"/>
    <s v="Dairy"/>
    <s v="Muxo"/>
    <x v="7"/>
    <n v="90"/>
    <n v="17"/>
    <n v="2.5"/>
    <d v="2024-04-09T00:00:00"/>
    <s v="267 International Plaza"/>
    <x v="7"/>
    <s v="Fulfilled"/>
    <n v="6"/>
    <n v="91"/>
    <s v="Reoeder required"/>
    <s v="Available"/>
  </r>
  <r>
    <s v="66-268-8345"/>
    <x v="8"/>
    <s v="Dairy"/>
    <s v="Thoughtstorm"/>
    <x v="8"/>
    <n v="84"/>
    <n v="11"/>
    <n v="3"/>
    <d v="2024-06-02T00:00:00"/>
    <s v="550 Clemons Plaza"/>
    <x v="8"/>
    <s v="Fulfilled"/>
    <n v="5"/>
    <n v="90"/>
    <s v="Sufficient"/>
    <s v="Available"/>
  </r>
  <r>
    <s v="46-452-9419"/>
    <x v="9"/>
    <s v="Dairy"/>
    <s v="Wordify"/>
    <x v="9"/>
    <n v="10"/>
    <n v="15"/>
    <n v="1"/>
    <d v="2024-11-14T00:00:00"/>
    <s v="55782 Welch Hill"/>
    <x v="9"/>
    <s v="Fulfilled"/>
    <n v="5"/>
    <n v="69"/>
    <s v="Sufficient"/>
    <s v="Available"/>
  </r>
  <r>
    <s v="51-469-4611"/>
    <x v="3"/>
    <s v="Grains &amp; Pulses"/>
    <s v="Fivebridge"/>
    <x v="10"/>
    <n v="81"/>
    <n v="91"/>
    <n v="1.6"/>
    <d v="2024-05-24T00:00:00"/>
    <s v="04776 Saint Paul Park"/>
    <x v="10"/>
    <s v="Pending"/>
    <n v="5"/>
    <n v="42"/>
    <s v="Reoeder required"/>
    <s v="Available"/>
  </r>
  <r>
    <s v="42-220-9305"/>
    <x v="10"/>
    <s v="Grains &amp; Pulses"/>
    <s v="Zooxo"/>
    <x v="8"/>
    <n v="98"/>
    <n v="6"/>
    <n v="2"/>
    <d v="2024-12-11T00:00:00"/>
    <s v="61932 Cascade Crossing"/>
    <x v="10"/>
    <s v="Pending"/>
    <n v="1"/>
    <n v="20"/>
    <s v="Reoeder required"/>
    <s v="Available"/>
  </r>
  <r>
    <s v="75-094-1179"/>
    <x v="11"/>
    <s v="Bakery"/>
    <s v="Vitz"/>
    <x v="11"/>
    <n v="79"/>
    <n v="31"/>
    <n v="3"/>
    <d v="2025-02-09T00:00:00"/>
    <s v="13 Forest Run Place"/>
    <x v="11"/>
    <s v="Pending"/>
    <n v="4"/>
    <n v="41"/>
    <s v="Reoeder required"/>
    <s v="Available"/>
  </r>
  <r>
    <s v="11-073-0189"/>
    <x v="4"/>
    <s v="Fruits &amp; Vegetables"/>
    <s v="Voomm"/>
    <x v="12"/>
    <n v="50"/>
    <n v="76"/>
    <n v="4"/>
    <d v="2024-09-21T00:00:00"/>
    <s v="5104 Jana Court"/>
    <x v="12"/>
    <s v="Fulfilled"/>
    <n v="5"/>
    <n v="5"/>
    <s v="Sufficient"/>
    <s v="Available"/>
  </r>
  <r>
    <s v="22-621-2774"/>
    <x v="12"/>
    <s v="Fruits &amp; Vegetables"/>
    <s v="Babblestorm"/>
    <x v="13"/>
    <n v="26"/>
    <n v="16"/>
    <n v="6"/>
    <d v="2024-06-30T00:00:00"/>
    <s v="00 Drewry Court"/>
    <x v="13"/>
    <s v="Pending"/>
    <n v="1"/>
    <n v="97"/>
    <s v="Sufficient"/>
    <s v="Available"/>
  </r>
  <r>
    <s v="39-449-0772"/>
    <x v="13"/>
    <s v="Dairy"/>
    <s v="Youfeed"/>
    <x v="14"/>
    <n v="13"/>
    <n v="15"/>
    <n v="7"/>
    <d v="2024-04-02T00:00:00"/>
    <s v="195 Portage Junction"/>
    <x v="14"/>
    <s v="Fulfilled"/>
    <n v="5"/>
    <n v="24"/>
    <s v="Sufficient"/>
    <s v="Available"/>
  </r>
  <r>
    <s v="55-936-2406"/>
    <x v="14"/>
    <s v="Grains &amp; Pulses"/>
    <s v="Mynte"/>
    <x v="15"/>
    <n v="93"/>
    <n v="88"/>
    <n v="1.5"/>
    <d v="2024-03-09T00:00:00"/>
    <s v="52691 8th Drive"/>
    <x v="15"/>
    <s v="Pending"/>
    <n v="7"/>
    <n v="13"/>
    <s v="Reoeder required"/>
    <s v="Available"/>
  </r>
  <r>
    <s v="82-041-7211"/>
    <x v="15"/>
    <s v="Dairy"/>
    <s v="Reallinks"/>
    <x v="16"/>
    <n v="49"/>
    <n v="26"/>
    <n v="8"/>
    <d v="2024-05-19T00:00:00"/>
    <s v="285 1st Park"/>
    <x v="16"/>
    <s v="Pending"/>
    <n v="5"/>
    <n v="61"/>
    <s v="Reoeder required"/>
    <s v="Available"/>
  </r>
  <r>
    <s v="48-414-6162"/>
    <x v="1"/>
    <s v="Beverages"/>
    <s v="Skivee"/>
    <x v="5"/>
    <n v="93"/>
    <n v="84"/>
    <n v="20"/>
    <d v="2024-11-08T00:00:00"/>
    <s v="17780 Lindbergh Junction"/>
    <x v="17"/>
    <s v="Fulfilled"/>
    <n v="8"/>
    <n v="84"/>
    <s v="Reoeder required"/>
    <s v="Available"/>
  </r>
  <r>
    <s v="76-854-0095"/>
    <x v="10"/>
    <s v="Grains &amp; Pulses"/>
    <s v="Mydeo"/>
    <x v="17"/>
    <n v="61"/>
    <n v="82"/>
    <n v="2"/>
    <d v="2025-02-08T00:00:00"/>
    <s v="7834 Cordelia Alley"/>
    <x v="18"/>
    <s v="Fulfilled"/>
    <n v="3"/>
    <n v="11"/>
    <s v="Sufficient"/>
    <s v="Available"/>
  </r>
  <r>
    <s v="25-349-7974"/>
    <x v="16"/>
    <s v="Fruits &amp; Vegetables"/>
    <s v="Devshare"/>
    <x v="18"/>
    <n v="70"/>
    <n v="99"/>
    <n v="2.5"/>
    <d v="2024-05-28T00:00:00"/>
    <s v="42 Bunker Hill Junction"/>
    <x v="19"/>
    <s v="Pending"/>
    <n v="3"/>
    <n v="32"/>
    <s v="Sufficient"/>
    <s v="Available"/>
  </r>
  <r>
    <s v="66-627-9752"/>
    <x v="17"/>
    <s v="Seafood"/>
    <s v="Jabbertype"/>
    <x v="16"/>
    <n v="73"/>
    <n v="48"/>
    <n v="12"/>
    <d v="2024-10-01T00:00:00"/>
    <s v="08 Randy Junction"/>
    <x v="20"/>
    <s v="Pending"/>
    <n v="5"/>
    <n v="62"/>
    <s v="Reoeder required"/>
    <s v="Available"/>
  </r>
  <r>
    <s v="78-614-4402"/>
    <x v="18"/>
    <s v="Fruits &amp; Vegetables"/>
    <s v="Gigazoom"/>
    <x v="19"/>
    <n v="99"/>
    <n v="28"/>
    <n v="2"/>
    <d v="2025-02-14T00:00:00"/>
    <s v="37 Browning Trail"/>
    <x v="14"/>
    <s v="Fulfilled"/>
    <n v="4"/>
    <n v="85"/>
    <s v="Reoeder required"/>
    <s v="Available"/>
  </r>
  <r>
    <s v="67-025-1245"/>
    <x v="19"/>
    <s v="Fruits &amp; Vegetables"/>
    <s v="Chatterbridge"/>
    <x v="20"/>
    <n v="46"/>
    <n v="55"/>
    <n v="1"/>
    <d v="2024-03-06T00:00:00"/>
    <s v="51890 Lindbergh Terrace"/>
    <x v="21"/>
    <s v="Fulfilled"/>
    <n v="3"/>
    <n v="63"/>
    <s v="Sufficient"/>
    <s v="Available"/>
  </r>
  <r>
    <s v="68-418-6724"/>
    <x v="20"/>
    <s v="Dairy"/>
    <s v="Feedspan"/>
    <x v="21"/>
    <n v="4"/>
    <n v="85"/>
    <n v="12"/>
    <d v="2025-01-13T00:00:00"/>
    <s v="49869 Bunker Hill Terrace"/>
    <x v="22"/>
    <s v="Fulfilled"/>
    <n v="8"/>
    <n v="71"/>
    <s v="Sufficient"/>
    <s v="Available"/>
  </r>
  <r>
    <s v="40-795-0753"/>
    <x v="21"/>
    <s v="Grains &amp; Pulses"/>
    <s v="Mydo"/>
    <x v="22"/>
    <n v="43"/>
    <n v="80"/>
    <n v="1.5"/>
    <d v="2025-02-22T00:00:00"/>
    <s v="66879 Susan Place"/>
    <x v="17"/>
    <s v="Pending"/>
    <n v="2"/>
    <n v="78"/>
    <s v="Reoeder required"/>
    <s v="Available"/>
  </r>
  <r>
    <s v="02-508-3777"/>
    <x v="22"/>
    <s v="Dairy"/>
    <s v="Realpoint"/>
    <x v="23"/>
    <n v="88"/>
    <n v="81"/>
    <n v="0.8"/>
    <d v="2024-07-07T00:00:00"/>
    <s v="895 Northland Hill"/>
    <x v="23"/>
    <s v="Fulfilled"/>
    <n v="4"/>
    <n v="18"/>
    <s v="Sufficient"/>
    <s v="Available"/>
  </r>
  <r>
    <s v="79-741-0770"/>
    <x v="23"/>
    <s v="Fruits &amp; Vegetables"/>
    <s v="Photospace"/>
    <x v="18"/>
    <n v="87"/>
    <n v="39"/>
    <n v="6"/>
    <d v="2025-02-24T00:00:00"/>
    <s v="91 Kinsman Terrace"/>
    <x v="24"/>
    <s v="Pending"/>
    <n v="3"/>
    <n v="57"/>
    <s v="Reoeder required"/>
    <s v="Available"/>
  </r>
  <r>
    <s v="31-211-5803"/>
    <x v="24"/>
    <s v="Bakery"/>
    <s v="Gigazoom"/>
    <x v="24"/>
    <n v="9"/>
    <n v="32"/>
    <n v="5"/>
    <d v="2024-08-21T00:00:00"/>
    <s v="492 Shoshone Road"/>
    <x v="25"/>
    <s v="Pending"/>
    <n v="8"/>
    <n v="98"/>
    <s v="Sufficient"/>
    <s v="Available"/>
  </r>
  <r>
    <s v="16-499-5059"/>
    <x v="25"/>
    <s v="Fruits &amp; Vegetables"/>
    <s v="Centizu"/>
    <x v="25"/>
    <n v="20"/>
    <n v="5"/>
    <n v="4.5"/>
    <d v="2024-11-19T00:00:00"/>
    <s v="3 Hooker Way"/>
    <x v="26"/>
    <s v="Fulfilled"/>
    <n v="5"/>
    <n v="62"/>
    <s v="Sufficient"/>
    <s v="Available"/>
  </r>
  <r>
    <s v="76-340-4432"/>
    <x v="26"/>
    <s v="Fruits &amp; Vegetables"/>
    <s v="Brainverse"/>
    <x v="26"/>
    <n v="36"/>
    <n v="72"/>
    <n v="1.75"/>
    <d v="2024-03-28T00:00:00"/>
    <s v="157 David Center"/>
    <x v="2"/>
    <s v="Pending"/>
    <n v="6"/>
    <n v="81"/>
    <s v="Reoeder required"/>
    <s v="Available"/>
  </r>
  <r>
    <s v="38-732-7667"/>
    <x v="27"/>
    <s v="Fruits &amp; Vegetables"/>
    <s v="Photojam"/>
    <x v="27"/>
    <n v="52"/>
    <n v="22"/>
    <n v="3.5"/>
    <d v="2024-10-13T00:00:00"/>
    <s v="3645 Ridge Oak Drive"/>
    <x v="27"/>
    <s v="Pending"/>
    <n v="6"/>
    <n v="32"/>
    <s v="Reoeder required"/>
    <s v="Available"/>
  </r>
  <r>
    <s v="04-240-2226"/>
    <x v="28"/>
    <s v="Oils &amp; Fats"/>
    <s v="Kamba"/>
    <x v="28"/>
    <n v="48"/>
    <n v="73"/>
    <n v="6"/>
    <d v="2024-06-28T00:00:00"/>
    <s v="504 Green Park"/>
    <x v="27"/>
    <s v="Fulfilled"/>
    <n v="4"/>
    <n v="51"/>
    <s v="Reoeder required"/>
    <s v="Available"/>
  </r>
  <r>
    <s v="79-136-9840"/>
    <x v="29"/>
    <s v="Beverages"/>
    <s v="Pixonyx"/>
    <x v="25"/>
    <n v="45"/>
    <n v="75"/>
    <n v="30"/>
    <d v="2024-08-19T00:00:00"/>
    <s v="26175 Oxford Way"/>
    <x v="28"/>
    <s v="Fulfilled"/>
    <n v="1"/>
    <n v="37"/>
    <s v="Sufficient"/>
    <s v="Available"/>
  </r>
  <r>
    <s v="73-401-5721"/>
    <x v="30"/>
    <s v="Seafood"/>
    <s v="Midel"/>
    <x v="29"/>
    <n v="28"/>
    <n v="73"/>
    <n v="9"/>
    <d v="2024-10-28T00:00:00"/>
    <s v="582 Sauthoff Crossing"/>
    <x v="29"/>
    <s v="Pending"/>
    <n v="1"/>
    <n v="57"/>
    <s v="Sufficient"/>
    <s v="Available"/>
  </r>
  <r>
    <s v="91-848-0606"/>
    <x v="31"/>
    <s v="Fruits &amp; Vegetables"/>
    <s v="Skyble"/>
    <x v="30"/>
    <n v="22"/>
    <n v="73"/>
    <n v="2"/>
    <d v="2024-07-23T00:00:00"/>
    <s v="13 Corscot Hill"/>
    <x v="30"/>
    <s v="Pending"/>
    <n v="5"/>
    <n v="2"/>
    <s v="Sufficient"/>
    <s v="Available"/>
  </r>
  <r>
    <s v="54-109-8062"/>
    <x v="0"/>
    <s v="Grains &amp; Pulses"/>
    <s v="Linklinks"/>
    <x v="31"/>
    <n v="69"/>
    <n v="100"/>
    <n v="4.5"/>
    <d v="2025-01-19T00:00:00"/>
    <s v="67 Little Fleur Road"/>
    <x v="31"/>
    <s v="Fulfilled"/>
    <n v="5"/>
    <n v="18"/>
    <s v="Sufficient"/>
    <s v="Available"/>
  </r>
  <r>
    <s v="70-612-2531"/>
    <x v="27"/>
    <s v="Fruits &amp; Vegetables"/>
    <s v="Flipbug"/>
    <x v="32"/>
    <n v="48"/>
    <n v="39"/>
    <n v="3.45"/>
    <d v="2025-01-25T00:00:00"/>
    <s v="4 Raven Drive"/>
    <x v="32"/>
    <s v="Pending"/>
    <n v="2"/>
    <n v="50"/>
    <s v="Reoeder required"/>
    <s v="Available"/>
  </r>
  <r>
    <s v="26-161-6692"/>
    <x v="32"/>
    <s v="Fruits &amp; Vegetables"/>
    <s v="Kare"/>
    <x v="33"/>
    <n v="90"/>
    <n v="26"/>
    <n v="2.5"/>
    <d v="2024-09-07T00:00:00"/>
    <s v="70001 Vahlen Lane"/>
    <x v="33"/>
    <s v="Pending"/>
    <n v="6"/>
    <n v="84"/>
    <s v="Reoeder required"/>
    <s v="Available"/>
  </r>
  <r>
    <s v="43-893-5408"/>
    <x v="33"/>
    <s v="Grains &amp; Pulses"/>
    <s v="Snaptags"/>
    <x v="34"/>
    <n v="90"/>
    <n v="85"/>
    <n v="3"/>
    <d v="2024-03-20T00:00:00"/>
    <s v="6 Orin Place"/>
    <x v="11"/>
    <s v="Fulfilled"/>
    <n v="5"/>
    <n v="9"/>
    <s v="Reoeder required"/>
    <s v="Available"/>
  </r>
  <r>
    <s v="11-316-8405"/>
    <x v="34"/>
    <s v="Fruits &amp; Vegetables"/>
    <s v="Twitternation"/>
    <x v="35"/>
    <n v="55"/>
    <n v="51"/>
    <n v="5"/>
    <d v="2025-02-24T00:00:00"/>
    <s v="108 Morning Center"/>
    <x v="34"/>
    <s v="Pending"/>
    <n v="6"/>
    <n v="15"/>
    <s v="Reoeder required"/>
    <s v="Available"/>
  </r>
  <r>
    <s v="34-086-3222"/>
    <x v="35"/>
    <s v="Fruits &amp; Vegetables"/>
    <s v="Layo"/>
    <x v="3"/>
    <n v="7"/>
    <n v="48"/>
    <n v="2.2999999999999998"/>
    <d v="2024-12-25T00:00:00"/>
    <s v="867 Merrick Place"/>
    <x v="15"/>
    <s v="Pending"/>
    <n v="3"/>
    <n v="4"/>
    <s v="Sufficient"/>
    <s v="Available"/>
  </r>
  <r>
    <s v="21-816-1004"/>
    <x v="36"/>
    <s v="Beverages"/>
    <s v="Realpoint"/>
    <x v="36"/>
    <n v="13"/>
    <n v="88"/>
    <n v="15"/>
    <d v="2024-12-04T00:00:00"/>
    <s v="564 Hazelcrest Crossing"/>
    <x v="28"/>
    <s v="Fulfilled"/>
    <n v="3"/>
    <n v="34"/>
    <s v="Sufficient"/>
    <s v="Available"/>
  </r>
  <r>
    <s v="43-693-2092"/>
    <x v="37"/>
    <s v="Dairy"/>
    <s v="Kayveo"/>
    <x v="37"/>
    <n v="100"/>
    <n v="70"/>
    <n v="3"/>
    <d v="2024-10-21T00:00:00"/>
    <s v="76 Toban Plaza"/>
    <x v="35"/>
    <s v="Fulfilled"/>
    <n v="2"/>
    <n v="21"/>
    <s v="Reoeder required"/>
    <s v="Available"/>
  </r>
  <r>
    <s v="63-270-7076"/>
    <x v="38"/>
    <s v="Bakery"/>
    <s v="Roombo"/>
    <x v="17"/>
    <n v="36"/>
    <n v="37"/>
    <n v="3.5"/>
    <d v="2024-06-12T00:00:00"/>
    <s v="6 Lunder Parkway"/>
    <x v="0"/>
    <s v="Fulfilled"/>
    <n v="2"/>
    <n v="70"/>
    <s v="Sufficient"/>
    <s v="Available"/>
  </r>
  <r>
    <s v="90-230-9767"/>
    <x v="3"/>
    <s v="Grains &amp; Pulses"/>
    <s v="Voonyx"/>
    <x v="38"/>
    <n v="88"/>
    <n v="32"/>
    <n v="1.5"/>
    <d v="2024-05-01T00:00:00"/>
    <s v="00397 Bay Terrace"/>
    <x v="15"/>
    <s v="Fulfilled"/>
    <n v="4"/>
    <n v="42"/>
    <s v="Reoeder required"/>
    <s v="Available"/>
  </r>
  <r>
    <s v="05-334-2923"/>
    <x v="14"/>
    <s v="Grains &amp; Pulses"/>
    <s v="Browsezoom"/>
    <x v="39"/>
    <n v="74"/>
    <n v="71"/>
    <n v="1.5"/>
    <d v="2024-11-22T00:00:00"/>
    <s v="8 Surrey Pass"/>
    <x v="36"/>
    <s v="Pending"/>
    <n v="6"/>
    <n v="22"/>
    <s v="Reoeder required"/>
    <s v="Available"/>
  </r>
  <r>
    <s v="52-481-5224"/>
    <x v="39"/>
    <s v="Fruits &amp; Vegetables"/>
    <s v="Fiveclub"/>
    <x v="1"/>
    <n v="24"/>
    <n v="61"/>
    <n v="6"/>
    <d v="2025-02-07T00:00:00"/>
    <s v="80 Old Shore Plaza"/>
    <x v="37"/>
    <s v="Fulfilled"/>
    <n v="8"/>
    <n v="34"/>
    <s v="Sufficient"/>
    <s v="Available"/>
  </r>
  <r>
    <s v="11-325-7396"/>
    <x v="34"/>
    <s v="Fruits &amp; Vegetables"/>
    <s v="Skipfire"/>
    <x v="40"/>
    <n v="46"/>
    <n v="13"/>
    <n v="5"/>
    <d v="2024-10-18T00:00:00"/>
    <s v="387 Jay Point"/>
    <x v="38"/>
    <s v="Fulfilled"/>
    <n v="3"/>
    <n v="75"/>
    <s v="Sufficient"/>
    <s v="Available"/>
  </r>
  <r>
    <s v="70-854-6891"/>
    <x v="40"/>
    <s v="Bakery"/>
    <s v="Flashspan"/>
    <x v="41"/>
    <n v="84"/>
    <n v="90"/>
    <n v="4"/>
    <d v="2024-11-28T00:00:00"/>
    <s v="24045 Bluestem Point"/>
    <x v="27"/>
    <s v="Pending"/>
    <n v="2"/>
    <n v="65"/>
    <s v="Reoeder required"/>
    <s v="Available"/>
  </r>
  <r>
    <s v="46-520-1819"/>
    <x v="33"/>
    <s v="Grains &amp; Pulses"/>
    <s v="Katz"/>
    <x v="41"/>
    <n v="36"/>
    <n v="78"/>
    <n v="4.5"/>
    <d v="2024-10-04T00:00:00"/>
    <s v="805 Nancy Crossing"/>
    <x v="39"/>
    <s v="Fulfilled"/>
    <n v="7"/>
    <n v="75"/>
    <s v="Sufficient"/>
    <s v="Available"/>
  </r>
  <r>
    <s v="91-105-7317"/>
    <x v="41"/>
    <s v="Fruits &amp; Vegetables"/>
    <s v="Devshare"/>
    <x v="42"/>
    <n v="45"/>
    <n v="71"/>
    <n v="3"/>
    <d v="2024-12-28T00:00:00"/>
    <s v="44022 Barnett Way"/>
    <x v="3"/>
    <s v="Pending"/>
    <n v="6"/>
    <n v="72"/>
    <s v="Sufficient"/>
    <s v="Available"/>
  </r>
  <r>
    <s v="40-751-8635"/>
    <x v="27"/>
    <s v="Fruits &amp; Vegetables"/>
    <s v="Yamia"/>
    <x v="7"/>
    <n v="80"/>
    <n v="84"/>
    <n v="3.4"/>
    <d v="2024-10-17T00:00:00"/>
    <s v="3 Ronald Regan Center"/>
    <x v="40"/>
    <s v="Pending"/>
    <n v="6"/>
    <n v="68"/>
    <s v="Reoeder required"/>
    <s v="Available"/>
  </r>
  <r>
    <s v="02-920-4829"/>
    <x v="42"/>
    <s v="Bakery"/>
    <s v="Skyble"/>
    <x v="40"/>
    <n v="87"/>
    <n v="84"/>
    <n v="2.5"/>
    <d v="2024-06-14T00:00:00"/>
    <s v="4 Judy Hill"/>
    <x v="26"/>
    <s v="Fulfilled"/>
    <n v="1"/>
    <n v="31"/>
    <s v="Sufficient"/>
    <s v="Available"/>
  </r>
  <r>
    <s v="36-918-2937"/>
    <x v="43"/>
    <s v="Beverages"/>
    <s v="Kwinu"/>
    <x v="10"/>
    <n v="89"/>
    <n v="18"/>
    <n v="12"/>
    <d v="2025-02-12T00:00:00"/>
    <s v="90865 Sherman Court"/>
    <x v="41"/>
    <s v="Fulfilled"/>
    <n v="7"/>
    <n v="36"/>
    <s v="Reoeder required"/>
    <s v="Available"/>
  </r>
  <r>
    <s v="68-761-6907"/>
    <x v="32"/>
    <s v="Fruits &amp; Vegetables"/>
    <s v="Brainverse"/>
    <x v="11"/>
    <n v="18"/>
    <n v="62"/>
    <n v="2.5"/>
    <d v="2024-07-21T00:00:00"/>
    <s v="9695 Alpine Trail"/>
    <x v="42"/>
    <s v="Pending"/>
    <n v="3"/>
    <n v="86"/>
    <s v="Sufficient"/>
    <s v="Available"/>
  </r>
  <r>
    <s v="69-468-5468"/>
    <x v="40"/>
    <s v="Bakery"/>
    <s v="Vinte"/>
    <x v="43"/>
    <n v="78"/>
    <n v="6"/>
    <n v="4.5"/>
    <d v="2024-06-10T00:00:00"/>
    <s v="72083 Acker Crossing"/>
    <x v="0"/>
    <s v="Fulfilled"/>
    <n v="8"/>
    <n v="3"/>
    <s v="Reoeder required"/>
    <s v="Available"/>
  </r>
  <r>
    <s v="27-635-8394"/>
    <x v="41"/>
    <s v="Fruits &amp; Vegetables"/>
    <s v="Twitterwire"/>
    <x v="20"/>
    <n v="37"/>
    <n v="61"/>
    <n v="2.9"/>
    <d v="2024-11-13T00:00:00"/>
    <s v="812 Shelley Circle"/>
    <x v="13"/>
    <s v="Fulfilled"/>
    <n v="5"/>
    <n v="35"/>
    <s v="Sufficient"/>
    <s v="Available"/>
  </r>
  <r>
    <s v="41-729-5410"/>
    <x v="44"/>
    <s v="Seafood"/>
    <s v="Ntag"/>
    <x v="8"/>
    <n v="59"/>
    <n v="49"/>
    <n v="6"/>
    <d v="2024-04-05T00:00:00"/>
    <s v="7193 Crownhardt Drive"/>
    <x v="43"/>
    <s v="Fulfilled"/>
    <n v="8"/>
    <n v="63"/>
    <s v="Sufficient"/>
    <s v="Available"/>
  </r>
  <r>
    <s v="33-335-9140"/>
    <x v="28"/>
    <s v="Oils &amp; Fats"/>
    <s v="Blogspan"/>
    <x v="44"/>
    <n v="17"/>
    <n v="28"/>
    <n v="6"/>
    <d v="2024-08-20T00:00:00"/>
    <s v="76928 Tennyson Parkway"/>
    <x v="39"/>
    <s v="Pending"/>
    <n v="6"/>
    <n v="25"/>
    <s v="Sufficient"/>
    <s v="Available"/>
  </r>
  <r>
    <s v="11-581-9869"/>
    <x v="45"/>
    <s v="Fruits &amp; Vegetables"/>
    <s v="Avaveo"/>
    <x v="37"/>
    <n v="60"/>
    <n v="98"/>
    <n v="1.5"/>
    <d v="2024-12-12T00:00:00"/>
    <s v="44801 Myrtle Center"/>
    <x v="37"/>
    <s v="Fulfilled"/>
    <n v="8"/>
    <n v="95"/>
    <s v="Reoeder required"/>
    <s v="Available"/>
  </r>
  <r>
    <s v="78-237-0277"/>
    <x v="46"/>
    <s v="Beverages"/>
    <s v="Brainbox"/>
    <x v="29"/>
    <n v="27"/>
    <n v="76"/>
    <n v="5"/>
    <d v="2024-09-23T00:00:00"/>
    <s v="79 Cardinal Court"/>
    <x v="44"/>
    <s v="Pending"/>
    <n v="2"/>
    <n v="96"/>
    <s v="Sufficient"/>
    <s v="Available"/>
  </r>
  <r>
    <s v="75-152-8731"/>
    <x v="25"/>
    <s v="Fruits &amp; Vegetables"/>
    <s v="Voonix"/>
    <x v="45"/>
    <n v="65"/>
    <n v="69"/>
    <n v="4.45"/>
    <d v="2024-11-12T00:00:00"/>
    <s v="622 Anthes Lane"/>
    <x v="43"/>
    <s v="Fulfilled"/>
    <n v="2"/>
    <n v="78"/>
    <s v="Sufficient"/>
    <s v="Available"/>
  </r>
  <r>
    <s v="65-718-0492"/>
    <x v="28"/>
    <s v="Oils &amp; Fats"/>
    <s v="Midel"/>
    <x v="46"/>
    <n v="92"/>
    <n v="26"/>
    <n v="6"/>
    <d v="2025-01-23T00:00:00"/>
    <s v="8626 Chinook Parkway"/>
    <x v="45"/>
    <s v="Fulfilled"/>
    <n v="4"/>
    <n v="9"/>
    <s v="Sufficient"/>
    <s v="Available"/>
  </r>
  <r>
    <s v="55-697-5242"/>
    <x v="47"/>
    <s v="Dairy"/>
    <s v="Shufflebeat"/>
    <x v="37"/>
    <n v="53"/>
    <n v="88"/>
    <n v="6"/>
    <d v="2024-06-30T00:00:00"/>
    <s v="19112 Little Fleur Road"/>
    <x v="46"/>
    <s v="Pending"/>
    <n v="4"/>
    <n v="59"/>
    <s v="Reoeder required"/>
    <s v="Available"/>
  </r>
  <r>
    <s v="14-844-4138"/>
    <x v="36"/>
    <s v="Beverages"/>
    <s v="Flipbug"/>
    <x v="33"/>
    <n v="43"/>
    <n v="29"/>
    <n v="15"/>
    <d v="2024-10-25T00:00:00"/>
    <s v="40643 Sullivan Lane"/>
    <x v="6"/>
    <s v="Pending"/>
    <n v="6"/>
    <n v="6"/>
    <s v="Sufficient"/>
    <s v="Available"/>
  </r>
  <r>
    <s v="20-225-3930"/>
    <x v="48"/>
    <s v="Beverages"/>
    <s v="Skipstorm"/>
    <x v="47"/>
    <n v="87"/>
    <n v="10"/>
    <n v="25"/>
    <d v="2024-02-29T00:00:00"/>
    <s v="5756 Stephen Avenue"/>
    <x v="47"/>
    <s v="Fulfilled"/>
    <n v="4"/>
    <n v="70"/>
    <s v="Sufficient"/>
    <s v="Available"/>
  </r>
  <r>
    <s v="66-993-4234"/>
    <x v="26"/>
    <s v="Fruits &amp; Vegetables"/>
    <s v="Gigazoom"/>
    <x v="48"/>
    <n v="60"/>
    <n v="100"/>
    <n v="1.8"/>
    <d v="2025-01-16T00:00:00"/>
    <s v="22 Dexter Trail"/>
    <x v="37"/>
    <s v="Pending"/>
    <n v="2"/>
    <n v="32"/>
    <s v="Reoeder required"/>
    <s v="Available"/>
  </r>
  <r>
    <s v="87-762-1317"/>
    <x v="49"/>
    <s v="Dairy"/>
    <s v="Dazzlesphere"/>
    <x v="1"/>
    <n v="63"/>
    <n v="75"/>
    <n v="7"/>
    <d v="2024-11-20T00:00:00"/>
    <s v="9305 Warrior Way"/>
    <x v="48"/>
    <s v="Pending"/>
    <n v="7"/>
    <n v="5"/>
    <s v="Reoeder required"/>
    <s v="Available"/>
  </r>
  <r>
    <s v="81-844-2979"/>
    <x v="50"/>
    <s v="Fruits &amp; Vegetables"/>
    <s v="Realblab"/>
    <x v="49"/>
    <n v="87"/>
    <n v="46"/>
    <n v="4"/>
    <d v="2025-01-15T00:00:00"/>
    <s v="16 Elgar Point"/>
    <x v="11"/>
    <s v="Fulfilled"/>
    <n v="3"/>
    <n v="67"/>
    <s v="Reoeder required"/>
    <s v="Available"/>
  </r>
  <r>
    <s v="44-408-7594"/>
    <x v="51"/>
    <s v="Fruits &amp; Vegetables"/>
    <s v="Eire"/>
    <x v="30"/>
    <n v="21"/>
    <n v="5"/>
    <n v="3"/>
    <d v="2024-05-01T00:00:00"/>
    <s v="81 Oneill Circle"/>
    <x v="32"/>
    <s v="Pending"/>
    <n v="3"/>
    <n v="98"/>
    <s v="Sufficient"/>
    <s v="Available"/>
  </r>
  <r>
    <s v="26-010-9519"/>
    <x v="17"/>
    <s v="Seafood"/>
    <s v="Blogtag"/>
    <x v="50"/>
    <n v="72"/>
    <n v="96"/>
    <n v="12"/>
    <d v="2024-11-26T00:00:00"/>
    <s v="4508 Shopko Trail"/>
    <x v="1"/>
    <s v="Pending"/>
    <n v="8"/>
    <n v="52"/>
    <s v="Reoeder required"/>
    <s v="Available"/>
  </r>
  <r>
    <s v="65-464-5070"/>
    <x v="52"/>
    <s v="Dairy"/>
    <s v="Ntags"/>
    <x v="3"/>
    <n v="60"/>
    <n v="73"/>
    <n v="4"/>
    <d v="2024-03-16T00:00:00"/>
    <s v="00 Luster Alley"/>
    <x v="14"/>
    <s v="Pending"/>
    <n v="3"/>
    <n v="35"/>
    <s v="Reoeder required"/>
    <s v="Available"/>
  </r>
  <r>
    <s v="07-970-9352"/>
    <x v="53"/>
    <s v="Fruits &amp; Vegetables"/>
    <s v="Tagtune"/>
    <x v="6"/>
    <n v="33"/>
    <n v="72"/>
    <n v="4.45"/>
    <d v="2024-05-16T00:00:00"/>
    <s v="459 Gateway Pass"/>
    <x v="49"/>
    <s v="Fulfilled"/>
    <n v="3"/>
    <n v="100"/>
    <s v="Sufficient"/>
    <s v="Available"/>
  </r>
  <r>
    <s v="88-746-9468"/>
    <x v="31"/>
    <s v="Fruits &amp; Vegetables"/>
    <s v="Skiba"/>
    <x v="51"/>
    <n v="92"/>
    <n v="74"/>
    <n v="2"/>
    <d v="2025-02-03T00:00:00"/>
    <s v="82737 Ryan Place"/>
    <x v="50"/>
    <s v="Pending"/>
    <n v="3"/>
    <n v="32"/>
    <s v="Reoeder required"/>
    <s v="Available"/>
  </r>
  <r>
    <s v="06-336-5482"/>
    <x v="44"/>
    <s v="Seafood"/>
    <s v="Voolia"/>
    <x v="52"/>
    <n v="34"/>
    <n v="15"/>
    <n v="6"/>
    <d v="2024-03-08T00:00:00"/>
    <s v="7 Mockingbird Hill"/>
    <x v="30"/>
    <s v="Fulfilled"/>
    <n v="5"/>
    <n v="2"/>
    <s v="Sufficient"/>
    <s v="Available"/>
  </r>
  <r>
    <s v="03-276-3931"/>
    <x v="34"/>
    <s v="Fruits &amp; Vegetables"/>
    <s v="Oyoloo"/>
    <x v="34"/>
    <n v="36"/>
    <n v="28"/>
    <n v="4.5"/>
    <d v="2024-09-18T00:00:00"/>
    <s v="081 Bellgrove Place"/>
    <x v="51"/>
    <s v="Fulfilled"/>
    <n v="4"/>
    <n v="29"/>
    <s v="Sufficient"/>
    <s v="Available"/>
  </r>
  <r>
    <s v="39-232-5341"/>
    <x v="54"/>
    <s v="Grains &amp; Pulses"/>
    <s v="Feedmix"/>
    <x v="53"/>
    <n v="34"/>
    <n v="74"/>
    <n v="4.5"/>
    <d v="2024-10-24T00:00:00"/>
    <s v="05433 Towne Terrace"/>
    <x v="25"/>
    <s v="Pending"/>
    <n v="4"/>
    <n v="83"/>
    <s v="Reoeder required"/>
    <s v="Available"/>
  </r>
  <r>
    <s v="12-239-9399"/>
    <x v="55"/>
    <s v="Fruits &amp; Vegetables"/>
    <s v="Tagtune"/>
    <x v="44"/>
    <n v="40"/>
    <n v="27"/>
    <n v="1.2"/>
    <d v="2024-07-29T00:00:00"/>
    <s v="924 La Follette Alley"/>
    <x v="43"/>
    <s v="Pending"/>
    <n v="5"/>
    <n v="56"/>
    <s v="Reoeder required"/>
    <s v="Available"/>
  </r>
  <r>
    <s v="75-080-4909"/>
    <x v="6"/>
    <s v="Oils &amp; Fats"/>
    <s v="Tagopia"/>
    <x v="53"/>
    <n v="55"/>
    <n v="15"/>
    <n v="2.5"/>
    <d v="2024-04-12T00:00:00"/>
    <s v="7 Gateway Center"/>
    <x v="52"/>
    <s v="Pending"/>
    <n v="6"/>
    <n v="61"/>
    <s v="Reoeder required"/>
    <s v="Available"/>
  </r>
  <r>
    <s v="70-815-4015"/>
    <x v="56"/>
    <s v="Bakery"/>
    <s v="Ozu"/>
    <x v="54"/>
    <n v="93"/>
    <n v="61"/>
    <n v="6"/>
    <d v="2024-07-15T00:00:00"/>
    <s v="175 Sycamore Circle"/>
    <x v="6"/>
    <s v="Pending"/>
    <n v="1"/>
    <n v="100"/>
    <s v="Reoeder required"/>
    <s v="Available"/>
  </r>
  <r>
    <s v="11-032-9778"/>
    <x v="57"/>
    <s v="Fruits &amp; Vegetables"/>
    <s v="Edgepulse"/>
    <x v="47"/>
    <n v="1"/>
    <n v="4"/>
    <n v="3"/>
    <d v="2025-01-27T00:00:00"/>
    <s v="553 Mayfield Crossing"/>
    <x v="25"/>
    <s v="Fulfilled"/>
    <n v="3"/>
    <n v="53"/>
    <s v="Sufficient"/>
    <s v="Available"/>
  </r>
  <r>
    <s v="54-374-9986"/>
    <x v="58"/>
    <s v="Dairy"/>
    <s v="Oyondu"/>
    <x v="40"/>
    <n v="52"/>
    <n v="80"/>
    <n v="2.5"/>
    <d v="2024-10-22T00:00:00"/>
    <s v="74997 Katie Terrace"/>
    <x v="53"/>
    <s v="Fulfilled"/>
    <n v="8"/>
    <n v="96"/>
    <s v="Sufficient"/>
    <s v="Available"/>
  </r>
  <r>
    <s v="77-312-6317"/>
    <x v="16"/>
    <s v="Fruits &amp; Vegetables"/>
    <s v="Abatz"/>
    <x v="41"/>
    <n v="29"/>
    <n v="76"/>
    <n v="2.4"/>
    <d v="2024-09-13T00:00:00"/>
    <s v="3616 Carey Pass"/>
    <x v="22"/>
    <s v="Pending"/>
    <n v="7"/>
    <n v="4"/>
    <s v="Sufficient"/>
    <s v="Available"/>
  </r>
  <r>
    <s v="13-844-2178"/>
    <x v="44"/>
    <s v="Seafood"/>
    <s v="Browsetype"/>
    <x v="7"/>
    <n v="67"/>
    <n v="48"/>
    <n v="6"/>
    <d v="2024-09-21T00:00:00"/>
    <s v="86207 Tennyson Parkway"/>
    <x v="54"/>
    <s v="Pending"/>
    <n v="5"/>
    <n v="11"/>
    <s v="Reoeder required"/>
    <s v="Available"/>
  </r>
  <r>
    <s v="22-141-9798"/>
    <x v="10"/>
    <s v="Grains &amp; Pulses"/>
    <s v="Photobean"/>
    <x v="28"/>
    <n v="7"/>
    <n v="63"/>
    <n v="2"/>
    <d v="2024-09-20T00:00:00"/>
    <s v="6 Nobel Junction"/>
    <x v="18"/>
    <s v="Fulfilled"/>
    <n v="2"/>
    <n v="20"/>
    <s v="Sufficient"/>
    <s v="Available"/>
  </r>
  <r>
    <s v="20-022-3173"/>
    <x v="14"/>
    <s v="Grains &amp; Pulses"/>
    <s v="Mydeo"/>
    <x v="55"/>
    <n v="63"/>
    <n v="65"/>
    <n v="1.5"/>
    <d v="2024-11-10T00:00:00"/>
    <s v="81878 Nobel Point"/>
    <x v="39"/>
    <s v="Pending"/>
    <n v="1"/>
    <n v="73"/>
    <s v="Reoeder required"/>
    <s v="Available"/>
  </r>
  <r>
    <s v="26-177-5690"/>
    <x v="26"/>
    <s v="Fruits &amp; Vegetables"/>
    <s v="Skinte"/>
    <x v="42"/>
    <n v="33"/>
    <n v="50"/>
    <n v="1.8"/>
    <d v="2024-07-15T00:00:00"/>
    <s v="61707 Mariners Cove Park"/>
    <x v="44"/>
    <s v="Fulfilled"/>
    <n v="6"/>
    <n v="38"/>
    <s v="Sufficient"/>
    <s v="Available"/>
  </r>
  <r>
    <s v="70-871-4536"/>
    <x v="15"/>
    <s v="Dairy"/>
    <s v="Cogilith"/>
    <x v="50"/>
    <n v="4"/>
    <n v="17"/>
    <n v="8"/>
    <d v="2024-11-13T00:00:00"/>
    <s v="5 Waxwing Junction"/>
    <x v="22"/>
    <s v="Pending"/>
    <n v="7"/>
    <n v="52"/>
    <s v="Sufficient"/>
    <s v="Available"/>
  </r>
  <r>
    <s v="06-611-5454"/>
    <x v="59"/>
    <s v="Oils &amp; Fats"/>
    <s v="Bluezoom"/>
    <x v="56"/>
    <n v="21"/>
    <n v="13"/>
    <n v="4"/>
    <d v="2024-10-11T00:00:00"/>
    <s v="16 Autumn Leaf Way"/>
    <x v="32"/>
    <s v="Fulfilled"/>
    <n v="7"/>
    <n v="26"/>
    <s v="Sufficient"/>
    <s v="Available"/>
  </r>
  <r>
    <s v="89-543-3456"/>
    <x v="60"/>
    <s v="Fruits &amp; Vegetables"/>
    <s v="Jaloo"/>
    <x v="57"/>
    <n v="40"/>
    <n v="96"/>
    <n v="10"/>
    <d v="2024-06-22T00:00:00"/>
    <s v="22782 Oriole Way"/>
    <x v="38"/>
    <s v="Fulfilled"/>
    <n v="6"/>
    <n v="61"/>
    <s v="Sufficient"/>
    <s v="Available"/>
  </r>
  <r>
    <s v="82-395-5070"/>
    <x v="61"/>
    <s v="Bakery"/>
    <s v="Vidoo"/>
    <x v="31"/>
    <n v="81"/>
    <n v="17"/>
    <n v="5"/>
    <d v="2025-02-17T00:00:00"/>
    <s v="43442 Homewood Street"/>
    <x v="12"/>
    <s v="Fulfilled"/>
    <n v="4"/>
    <n v="38"/>
    <s v="Reoeder required"/>
    <s v="Available"/>
  </r>
  <r>
    <s v="14-305-5348"/>
    <x v="62"/>
    <s v="Dairy"/>
    <s v="Shuffledrive"/>
    <x v="58"/>
    <n v="63"/>
    <n v="2"/>
    <n v="9"/>
    <d v="2024-10-12T00:00:00"/>
    <s v="19 Shoshone Circle"/>
    <x v="8"/>
    <s v="Pending"/>
    <n v="6"/>
    <n v="95"/>
    <s v="Reoeder required"/>
    <s v="Available"/>
  </r>
  <r>
    <s v="82-243-3180"/>
    <x v="63"/>
    <s v="Oils &amp; Fats"/>
    <s v="Zooxo"/>
    <x v="9"/>
    <n v="63"/>
    <n v="80"/>
    <n v="1.8"/>
    <d v="2024-07-31T00:00:00"/>
    <s v="97 Sunnyside Court"/>
    <x v="55"/>
    <s v="Fulfilled"/>
    <n v="6"/>
    <n v="96"/>
    <s v="Reoeder required"/>
    <s v="Available"/>
  </r>
  <r>
    <s v="25-010-9478"/>
    <x v="51"/>
    <s v="Fruits &amp; Vegetables"/>
    <s v="Topicblab"/>
    <x v="59"/>
    <n v="30"/>
    <n v="24"/>
    <n v="3"/>
    <d v="2024-10-13T00:00:00"/>
    <s v="357 Maple Park"/>
    <x v="19"/>
    <s v="Pending"/>
    <n v="4"/>
    <n v="12"/>
    <s v="Sufficient"/>
    <s v="Available"/>
  </r>
  <r>
    <s v="13-202-4809"/>
    <x v="64"/>
    <s v="Fruits &amp; Vegetables"/>
    <s v="Katz"/>
    <x v="15"/>
    <n v="22"/>
    <n v="89"/>
    <n v="7"/>
    <d v="2024-07-28T00:00:00"/>
    <s v="6195 Monterey Center"/>
    <x v="56"/>
    <s v="Pending"/>
    <n v="5"/>
    <n v="77"/>
    <s v="Sufficient"/>
    <s v="Available"/>
  </r>
  <r>
    <s v="67-270-7464"/>
    <x v="65"/>
    <s v="Grains &amp; Pulses"/>
    <s v="Yadel"/>
    <x v="8"/>
    <n v="73"/>
    <n v="77"/>
    <n v="4.75"/>
    <d v="2024-08-24T00:00:00"/>
    <s v="7242 Claremont Avenue"/>
    <x v="32"/>
    <s v="Fulfilled"/>
    <n v="2"/>
    <n v="49"/>
    <s v="Sufficient"/>
    <s v="Available"/>
  </r>
  <r>
    <s v="11-733-1756"/>
    <x v="66"/>
    <s v="Grains &amp; Pulses"/>
    <s v="Mynte"/>
    <x v="60"/>
    <n v="81"/>
    <n v="53"/>
    <n v="2"/>
    <d v="2024-11-27T00:00:00"/>
    <s v="127 Eliot Road"/>
    <x v="3"/>
    <s v="Pending"/>
    <n v="8"/>
    <n v="88"/>
    <s v="Reoeder required"/>
    <s v="Available"/>
  </r>
  <r>
    <s v="80-988-4653"/>
    <x v="32"/>
    <s v="Fruits &amp; Vegetables"/>
    <s v="Livetube"/>
    <x v="9"/>
    <n v="66"/>
    <n v="85"/>
    <n v="2.5"/>
    <d v="2024-09-14T00:00:00"/>
    <s v="8 Russell Pass"/>
    <x v="15"/>
    <s v="Pending"/>
    <n v="1"/>
    <n v="65"/>
    <s v="Reoeder required"/>
    <s v="Available"/>
  </r>
  <r>
    <s v="60-343-7973"/>
    <x v="38"/>
    <s v="Bakery"/>
    <s v="Zoombox"/>
    <x v="61"/>
    <n v="86"/>
    <n v="23"/>
    <n v="3.2"/>
    <d v="2024-04-29T00:00:00"/>
    <s v="85408 Toban Crossing"/>
    <x v="6"/>
    <s v="Pending"/>
    <n v="7"/>
    <n v="56"/>
    <s v="Reoeder required"/>
    <s v="Available"/>
  </r>
  <r>
    <s v="34-861-4446"/>
    <x v="47"/>
    <s v="Dairy"/>
    <s v="Photobug"/>
    <x v="57"/>
    <n v="40"/>
    <n v="8"/>
    <n v="6"/>
    <d v="2025-01-18T00:00:00"/>
    <s v="113 Donald Court"/>
    <x v="31"/>
    <s v="Fulfilled"/>
    <n v="2"/>
    <n v="49"/>
    <s v="Sufficient"/>
    <s v="Available"/>
  </r>
  <r>
    <s v="67-710-5120"/>
    <x v="14"/>
    <s v="Grains &amp; Pulses"/>
    <s v="Skynoodle"/>
    <x v="36"/>
    <n v="92"/>
    <n v="18"/>
    <n v="1.5"/>
    <d v="2024-12-29T00:00:00"/>
    <s v="978 Shasta Lane"/>
    <x v="57"/>
    <s v="Pending"/>
    <n v="5"/>
    <n v="69"/>
    <s v="Reoeder required"/>
    <s v="Available"/>
  </r>
  <r>
    <s v="49-891-4927"/>
    <x v="67"/>
    <s v="Dairy"/>
    <s v="Midel"/>
    <x v="4"/>
    <n v="5"/>
    <n v="1"/>
    <n v="5"/>
    <d v="2024-02-26T00:00:00"/>
    <s v="46 Hoffman Trail"/>
    <x v="58"/>
    <s v="Pending"/>
    <n v="8"/>
    <n v="99"/>
    <s v="Sufficient"/>
    <s v="Available"/>
  </r>
  <r>
    <s v="55-522-8242"/>
    <x v="68"/>
    <s v="Dairy"/>
    <s v="Feedbug"/>
    <x v="50"/>
    <n v="36"/>
    <n v="40"/>
    <n v="4"/>
    <d v="2024-03-30T00:00:00"/>
    <s v="7 Spohn Avenue"/>
    <x v="30"/>
    <s v="Pending"/>
    <n v="2"/>
    <n v="96"/>
    <s v="Reoeder required"/>
    <s v="Available"/>
  </r>
  <r>
    <s v="62-509-0666"/>
    <x v="69"/>
    <s v="Grains &amp; Pulses"/>
    <s v="Brainverse"/>
    <x v="48"/>
    <n v="88"/>
    <n v="7"/>
    <n v="9.5"/>
    <d v="2024-05-15T00:00:00"/>
    <s v="1468 Meadow Vale Court"/>
    <x v="38"/>
    <s v="Pending"/>
    <n v="1"/>
    <n v="21"/>
    <s v="Reoeder required"/>
    <s v="Available"/>
  </r>
  <r>
    <s v="64-478-4745"/>
    <x v="35"/>
    <s v="Fruits &amp; Vegetables"/>
    <s v="Mydo"/>
    <x v="21"/>
    <n v="81"/>
    <n v="94"/>
    <n v="2.5"/>
    <d v="2024-04-20T00:00:00"/>
    <s v="208 Miller Court"/>
    <x v="8"/>
    <s v="Fulfilled"/>
    <n v="4"/>
    <n v="2"/>
    <s v="Reoeder required"/>
    <s v="Available"/>
  </r>
  <r>
    <s v="35-835-5591"/>
    <x v="70"/>
    <s v="Seafood"/>
    <s v="Fiveclub"/>
    <x v="12"/>
    <n v="63"/>
    <n v="73"/>
    <n v="7"/>
    <d v="2024-06-05T00:00:00"/>
    <s v="509 Carpenter Trail"/>
    <x v="26"/>
    <s v="Fulfilled"/>
    <n v="8"/>
    <n v="38"/>
    <s v="Sufficient"/>
    <s v="Available"/>
  </r>
  <r>
    <s v="26-690-3784"/>
    <x v="71"/>
    <s v="Fruits &amp; Vegetables"/>
    <s v="Fadeo"/>
    <x v="62"/>
    <n v="5"/>
    <n v="1"/>
    <n v="2"/>
    <d v="2024-10-14T00:00:00"/>
    <s v="19069 Cordelia Drive"/>
    <x v="59"/>
    <s v="Fulfilled"/>
    <n v="8"/>
    <n v="80"/>
    <s v="Sufficient"/>
    <s v="Available"/>
  </r>
  <r>
    <s v="67-546-1568"/>
    <x v="59"/>
    <s v="Oils &amp; Fats"/>
    <s v="Edgeify"/>
    <x v="63"/>
    <n v="36"/>
    <n v="53"/>
    <n v="4"/>
    <d v="2024-06-16T00:00:00"/>
    <s v="203 Mariners Cove Junction"/>
    <x v="8"/>
    <s v="Fulfilled"/>
    <n v="6"/>
    <n v="32"/>
    <s v="Sufficient"/>
    <s v="Available"/>
  </r>
  <r>
    <s v="67-625-9704"/>
    <x v="44"/>
    <s v="Seafood"/>
    <s v="Eayo"/>
    <x v="64"/>
    <n v="18"/>
    <n v="92"/>
    <n v="6"/>
    <d v="2024-09-26T00:00:00"/>
    <s v="7819 Fallview Park"/>
    <x v="60"/>
    <s v="Pending"/>
    <n v="6"/>
    <n v="56"/>
    <s v="Sufficient"/>
    <s v="Available"/>
  </r>
  <r>
    <s v="31-969-4614"/>
    <x v="1"/>
    <s v="Beverages"/>
    <s v="Voomm"/>
    <x v="10"/>
    <n v="89"/>
    <n v="6"/>
    <n v="20"/>
    <d v="2024-06-06T00:00:00"/>
    <s v="993 Kensington Drive"/>
    <x v="61"/>
    <s v="Fulfilled"/>
    <n v="5"/>
    <n v="11"/>
    <s v="Reoeder required"/>
    <s v="Available"/>
  </r>
  <r>
    <s v="50-364-5828"/>
    <x v="72"/>
    <s v="Fruits &amp; Vegetables"/>
    <s v="Mydo"/>
    <x v="52"/>
    <n v="57"/>
    <n v="92"/>
    <n v="5"/>
    <d v="2024-06-14T00:00:00"/>
    <s v="772 Golf Course Junction"/>
    <x v="39"/>
    <s v="Fulfilled"/>
    <n v="8"/>
    <n v="16"/>
    <s v="Sufficient"/>
    <s v="Available"/>
  </r>
  <r>
    <s v="61-827-4098"/>
    <x v="73"/>
    <s v="Seafood"/>
    <s v="Devbug"/>
    <x v="65"/>
    <n v="42"/>
    <n v="87"/>
    <n v="8"/>
    <d v="2024-07-15T00:00:00"/>
    <s v="29992 Warrior Center"/>
    <x v="13"/>
    <s v="Pending"/>
    <n v="7"/>
    <n v="5"/>
    <s v="Reoeder required"/>
    <s v="Available"/>
  </r>
  <r>
    <s v="87-698-0944"/>
    <x v="74"/>
    <s v="Fruits &amp; Vegetables"/>
    <s v="Vinder"/>
    <x v="61"/>
    <n v="12"/>
    <n v="59"/>
    <n v="98.43"/>
    <d v="2024-08-27T00:00:00"/>
    <s v="8 Heffernan Point"/>
    <x v="41"/>
    <s v="Fulfilled"/>
    <n v="1"/>
    <n v="16"/>
    <s v="Sufficient"/>
    <s v="Available"/>
  </r>
  <r>
    <s v="36-636-4873"/>
    <x v="2"/>
    <s v="Grains &amp; Pulses"/>
    <s v="Wikivu"/>
    <x v="66"/>
    <n v="100"/>
    <n v="74"/>
    <n v="6.1"/>
    <d v="2025-01-17T00:00:00"/>
    <s v="451 Grim Hill"/>
    <x v="62"/>
    <s v="Fulfilled"/>
    <n v="1"/>
    <n v="94"/>
    <s v="Reoeder required"/>
    <s v="Available"/>
  </r>
  <r>
    <s v="98-556-5323"/>
    <x v="75"/>
    <s v="Fruits &amp; Vegetables"/>
    <s v="Dynabox"/>
    <x v="34"/>
    <n v="61"/>
    <n v="2"/>
    <n v="6"/>
    <d v="2024-08-12T00:00:00"/>
    <s v="005 Tomscot Hill"/>
    <x v="40"/>
    <s v="Pending"/>
    <n v="5"/>
    <n v="50"/>
    <s v="Reoeder required"/>
    <s v="Available"/>
  </r>
  <r>
    <s v="97-772-2336"/>
    <x v="27"/>
    <s v="Fruits &amp; Vegetables"/>
    <s v="Rooxo"/>
    <x v="67"/>
    <n v="30"/>
    <n v="69"/>
    <n v="3.5"/>
    <d v="2025-02-03T00:00:00"/>
    <s v="9 Bartillon Trail"/>
    <x v="37"/>
    <s v="Fulfilled"/>
    <n v="4"/>
    <n v="42"/>
    <s v="Sufficient"/>
    <s v="Available"/>
  </r>
  <r>
    <s v="19-047-4239"/>
    <x v="76"/>
    <s v="Fruits &amp; Vegetables"/>
    <s v="Quire"/>
    <x v="28"/>
    <n v="72"/>
    <n v="73"/>
    <n v="4"/>
    <d v="2024-03-30T00:00:00"/>
    <s v="7 West Street"/>
    <x v="47"/>
    <s v="Pending"/>
    <n v="4"/>
    <n v="27"/>
    <s v="Reoeder required"/>
    <s v="Available"/>
  </r>
  <r>
    <s v="41-316-8427"/>
    <x v="54"/>
    <s v="Grains &amp; Pulses"/>
    <s v="Realcube"/>
    <x v="12"/>
    <n v="93"/>
    <n v="16"/>
    <n v="4.5"/>
    <d v="2024-09-06T00:00:00"/>
    <s v="03416 Valley Edge Circle"/>
    <x v="30"/>
    <s v="Fulfilled"/>
    <n v="6"/>
    <n v="19"/>
    <s v="Sufficient"/>
    <s v="Available"/>
  </r>
  <r>
    <s v="15-907-3681"/>
    <x v="4"/>
    <s v="Fruits &amp; Vegetables"/>
    <s v="Brainsphere"/>
    <x v="53"/>
    <n v="42"/>
    <n v="21"/>
    <n v="3.85"/>
    <d v="2025-01-27T00:00:00"/>
    <s v="21633 Sycamore Center"/>
    <x v="26"/>
    <s v="Pending"/>
    <n v="7"/>
    <n v="25"/>
    <s v="Reoeder required"/>
    <s v="Available"/>
  </r>
  <r>
    <s v="14-305-9690"/>
    <x v="0"/>
    <s v="Grains &amp; Pulses"/>
    <s v="Dabshots"/>
    <x v="26"/>
    <n v="17"/>
    <n v="14"/>
    <n v="4.3"/>
    <d v="2024-06-29T00:00:00"/>
    <s v="43107 Schlimgen Circle"/>
    <x v="63"/>
    <s v="Pending"/>
    <n v="8"/>
    <n v="23"/>
    <s v="Sufficient"/>
    <s v="Available"/>
  </r>
  <r>
    <s v="40-860-4532"/>
    <x v="1"/>
    <s v="Beverages"/>
    <s v="Yadel"/>
    <x v="59"/>
    <n v="72"/>
    <n v="18"/>
    <n v="21"/>
    <d v="2024-02-27T00:00:00"/>
    <s v="988 Southridge Way"/>
    <x v="48"/>
    <s v="Pending"/>
    <n v="4"/>
    <n v="54"/>
    <s v="Sufficient"/>
    <s v="Available"/>
  </r>
  <r>
    <s v="44-552-3909"/>
    <x v="25"/>
    <s v="Fruits &amp; Vegetables"/>
    <s v="Riffwire"/>
    <x v="33"/>
    <n v="50"/>
    <n v="9"/>
    <n v="4.5"/>
    <d v="2024-02-26T00:00:00"/>
    <s v="6 Charing Cross Circle"/>
    <x v="38"/>
    <s v="Fulfilled"/>
    <n v="4"/>
    <n v="92"/>
    <s v="Sufficient"/>
    <s v="Available"/>
  </r>
  <r>
    <s v="75-029-9003"/>
    <x v="40"/>
    <s v="Bakery"/>
    <s v="Eadel"/>
    <x v="68"/>
    <n v="42"/>
    <n v="86"/>
    <n v="4"/>
    <d v="2024-10-07T00:00:00"/>
    <s v="19180 Hagan Parkway"/>
    <x v="64"/>
    <s v="Fulfilled"/>
    <n v="8"/>
    <n v="23"/>
    <s v="Reoeder required"/>
    <s v="Available"/>
  </r>
  <r>
    <s v="74-587-2065"/>
    <x v="25"/>
    <s v="Fruits &amp; Vegetables"/>
    <s v="Gigaclub"/>
    <x v="50"/>
    <n v="20"/>
    <n v="85"/>
    <n v="4.5"/>
    <d v="2025-02-20T00:00:00"/>
    <s v="84642 Clarendon Point"/>
    <x v="2"/>
    <s v="Pending"/>
    <n v="7"/>
    <n v="31"/>
    <s v="Sufficient"/>
    <s v="Available"/>
  </r>
  <r>
    <s v="70-149-6756"/>
    <x v="52"/>
    <s v="Dairy"/>
    <s v="Skynoodle"/>
    <x v="39"/>
    <n v="99"/>
    <n v="97"/>
    <n v="4.2"/>
    <d v="2025-01-06T00:00:00"/>
    <s v="6 Messerschmidt Place"/>
    <x v="64"/>
    <s v="Pending"/>
    <n v="6"/>
    <n v="45"/>
    <s v="Reoeder required"/>
    <s v="Available"/>
  </r>
  <r>
    <s v="29-896-7926"/>
    <x v="77"/>
    <s v="Grains &amp; Pulses"/>
    <s v="Centidel"/>
    <x v="53"/>
    <n v="20"/>
    <n v="56"/>
    <n v="1.8"/>
    <d v="2024-06-01T00:00:00"/>
    <s v="80930 Briar Crest Point"/>
    <x v="4"/>
    <s v="Pending"/>
    <n v="2"/>
    <n v="69"/>
    <s v="Reoeder required"/>
    <s v="Available"/>
  </r>
  <r>
    <s v="54-822-9009"/>
    <x v="78"/>
    <s v="Grains &amp; Pulses"/>
    <s v="Shufflester"/>
    <x v="69"/>
    <n v="38"/>
    <n v="32"/>
    <n v="3.2"/>
    <d v="2024-06-08T00:00:00"/>
    <s v="64389 Arkansas Alley"/>
    <x v="7"/>
    <s v="Fulfilled"/>
    <n v="7"/>
    <n v="45"/>
    <s v="Sufficient"/>
    <s v="Available"/>
  </r>
  <r>
    <s v="84-075-7647"/>
    <x v="79"/>
    <s v="Oils &amp; Fats"/>
    <s v="Mydeo"/>
    <x v="8"/>
    <n v="82"/>
    <n v="58"/>
    <n v="2.2999999999999998"/>
    <d v="2024-10-21T00:00:00"/>
    <s v="51 7th Court"/>
    <x v="31"/>
    <s v="Fulfilled"/>
    <n v="2"/>
    <n v="45"/>
    <s v="Sufficient"/>
    <s v="Available"/>
  </r>
  <r>
    <s v="88-602-8210"/>
    <x v="80"/>
    <s v="Oils &amp; Fats"/>
    <s v="Skajo"/>
    <x v="47"/>
    <n v="96"/>
    <n v="39"/>
    <n v="10"/>
    <d v="2024-06-19T00:00:00"/>
    <s v="042 Di Loreto Court"/>
    <x v="24"/>
    <s v="Fulfilled"/>
    <n v="7"/>
    <n v="89"/>
    <s v="Sufficient"/>
    <s v="Available"/>
  </r>
  <r>
    <s v="04-542-3863"/>
    <x v="14"/>
    <s v="Grains &amp; Pulses"/>
    <s v="Eidel"/>
    <x v="68"/>
    <n v="46"/>
    <n v="45"/>
    <n v="1.5"/>
    <d v="2024-12-11T00:00:00"/>
    <s v="403 Loomis Way"/>
    <x v="65"/>
    <s v="Pending"/>
    <n v="5"/>
    <n v="25"/>
    <s v="Reoeder required"/>
    <s v="Available"/>
  </r>
  <r>
    <s v="57-613-5779"/>
    <x v="81"/>
    <s v="Dairy"/>
    <s v="Thoughtblab"/>
    <x v="46"/>
    <n v="21"/>
    <n v="64"/>
    <n v="7"/>
    <d v="2024-03-11T00:00:00"/>
    <s v="6 John Wall Plaza"/>
    <x v="14"/>
    <s v="Fulfilled"/>
    <n v="6"/>
    <n v="13"/>
    <s v="Sufficient"/>
    <s v="Available"/>
  </r>
  <r>
    <s v="90-737-0044"/>
    <x v="2"/>
    <s v="Grains &amp; Pulses"/>
    <s v="Bubblemix"/>
    <x v="70"/>
    <n v="98"/>
    <n v="97"/>
    <n v="6"/>
    <d v="2025-01-17T00:00:00"/>
    <s v="92321 Nelson Trail"/>
    <x v="51"/>
    <s v="Fulfilled"/>
    <n v="2"/>
    <n v="21"/>
    <s v="Reoeder required"/>
    <s v="Available"/>
  </r>
  <r>
    <s v="28-956-1320"/>
    <x v="8"/>
    <s v="Dairy"/>
    <s v="Thoughtblab"/>
    <x v="10"/>
    <n v="2"/>
    <n v="98"/>
    <n v="3"/>
    <d v="2024-10-18T00:00:00"/>
    <s v="95 Onsgard Way"/>
    <x v="25"/>
    <s v="Fulfilled"/>
    <n v="2"/>
    <n v="11"/>
    <s v="Sufficient"/>
    <s v="Available"/>
  </r>
  <r>
    <s v="87-791-5803"/>
    <x v="82"/>
    <s v="Seafood"/>
    <s v="Meemm"/>
    <x v="71"/>
    <n v="44"/>
    <n v="96"/>
    <n v="18"/>
    <d v="2024-03-09T00:00:00"/>
    <s v="8 Fremont Circle"/>
    <x v="66"/>
    <s v="Pending"/>
    <n v="6"/>
    <n v="16"/>
    <s v="Reoeder required"/>
    <s v="Available"/>
  </r>
  <r>
    <s v="14-521-4167"/>
    <x v="83"/>
    <s v="Dairy"/>
    <s v="Vinder"/>
    <x v="28"/>
    <n v="2"/>
    <n v="76"/>
    <n v="2.5"/>
    <d v="2024-06-29T00:00:00"/>
    <s v="00847 Reindahl Place"/>
    <x v="67"/>
    <s v="Pending"/>
    <n v="4"/>
    <n v="36"/>
    <s v="Sufficient"/>
    <s v="Available"/>
  </r>
  <r>
    <s v="51-572-5497"/>
    <x v="41"/>
    <s v="Fruits &amp; Vegetables"/>
    <s v="Kanoodle"/>
    <x v="72"/>
    <n v="44"/>
    <n v="88"/>
    <n v="3"/>
    <d v="2025-02-13T00:00:00"/>
    <s v="9516 Burrows Circle"/>
    <x v="8"/>
    <s v="Pending"/>
    <n v="5"/>
    <n v="12"/>
    <s v="Reoeder required"/>
    <s v="Available"/>
  </r>
  <r>
    <s v="28-840-6096"/>
    <x v="75"/>
    <s v="Fruits &amp; Vegetables"/>
    <s v="Flipopia"/>
    <x v="26"/>
    <n v="65"/>
    <n v="48"/>
    <n v="6"/>
    <d v="2025-02-14T00:00:00"/>
    <s v="92655 Pond Park"/>
    <x v="22"/>
    <s v="Pending"/>
    <n v="5"/>
    <n v="53"/>
    <s v="Reoeder required"/>
    <s v="Available"/>
  </r>
  <r>
    <s v="44-538-3366"/>
    <x v="82"/>
    <s v="Seafood"/>
    <s v="Realbridge"/>
    <x v="62"/>
    <n v="77"/>
    <n v="96"/>
    <n v="18"/>
    <d v="2024-04-17T00:00:00"/>
    <s v="46 Cardinal Way"/>
    <x v="28"/>
    <s v="Fulfilled"/>
    <n v="5"/>
    <n v="17"/>
    <s v="Reoeder required"/>
    <s v="Available"/>
  </r>
  <r>
    <s v="51-459-5630"/>
    <x v="84"/>
    <s v="Dairy"/>
    <s v="Skyvu"/>
    <x v="73"/>
    <n v="30"/>
    <n v="4"/>
    <n v="4"/>
    <d v="2024-09-29T00:00:00"/>
    <s v="805 Center Parkway"/>
    <x v="45"/>
    <s v="Pending"/>
    <n v="3"/>
    <n v="4"/>
    <s v="Reoeder required"/>
    <s v="Available"/>
  </r>
  <r>
    <s v="02-655-3240"/>
    <x v="66"/>
    <s v="Grains &amp; Pulses"/>
    <s v="Jabberstorm"/>
    <x v="47"/>
    <n v="44"/>
    <n v="52"/>
    <n v="2"/>
    <d v="2024-05-21T00:00:00"/>
    <s v="6738 Tennyson Road"/>
    <x v="66"/>
    <s v="Fulfilled"/>
    <n v="7"/>
    <n v="2"/>
    <s v="Sufficient"/>
    <s v="Available"/>
  </r>
  <r>
    <s v="42-887-6557"/>
    <x v="3"/>
    <s v="Grains &amp; Pulses"/>
    <s v="Geba"/>
    <x v="11"/>
    <n v="82"/>
    <n v="19"/>
    <n v="1.5"/>
    <d v="2024-07-10T00:00:00"/>
    <s v="61224 Northridge Avenue"/>
    <x v="50"/>
    <s v="Pending"/>
    <n v="4"/>
    <n v="88"/>
    <s v="Reoeder required"/>
    <s v="Available"/>
  </r>
  <r>
    <s v="96-316-7600"/>
    <x v="53"/>
    <s v="Fruits &amp; Vegetables"/>
    <s v="Linklinks"/>
    <x v="67"/>
    <n v="31"/>
    <n v="55"/>
    <n v="4.5"/>
    <d v="2024-07-27T00:00:00"/>
    <s v="6 Swallow Crossing"/>
    <x v="61"/>
    <s v="Fulfilled"/>
    <n v="2"/>
    <n v="80"/>
    <s v="Sufficient"/>
    <s v="Available"/>
  </r>
  <r>
    <s v="58-063-8633"/>
    <x v="53"/>
    <s v="Fruits &amp; Vegetables"/>
    <s v="Skimia"/>
    <x v="74"/>
    <n v="3"/>
    <n v="88"/>
    <n v="4.5"/>
    <d v="2024-06-30T00:00:00"/>
    <s v="33424 Express Avenue"/>
    <x v="12"/>
    <s v="Pending"/>
    <n v="8"/>
    <n v="73"/>
    <s v="Sufficient"/>
    <s v="Available"/>
  </r>
  <r>
    <s v="43-703-9939"/>
    <x v="27"/>
    <s v="Fruits &amp; Vegetables"/>
    <s v="Bubblemix"/>
    <x v="5"/>
    <n v="91"/>
    <n v="35"/>
    <n v="3.5"/>
    <d v="2024-05-22T00:00:00"/>
    <s v="4 Sundown Place"/>
    <x v="68"/>
    <s v="Pending"/>
    <n v="5"/>
    <n v="19"/>
    <s v="Reoeder required"/>
    <s v="Available"/>
  </r>
  <r>
    <s v="88-069-5486"/>
    <x v="73"/>
    <s v="Seafood"/>
    <s v="Buzzshare"/>
    <x v="22"/>
    <n v="87"/>
    <n v="19"/>
    <n v="8"/>
    <d v="2024-07-13T00:00:00"/>
    <s v="01330 Sheridan Way"/>
    <x v="69"/>
    <s v="Pending"/>
    <n v="3"/>
    <n v="10"/>
    <s v="Reoeder required"/>
    <s v="Available"/>
  </r>
  <r>
    <s v="74-845-3299"/>
    <x v="85"/>
    <s v="Beverages"/>
    <s v="Oyoyo"/>
    <x v="21"/>
    <n v="92"/>
    <n v="26"/>
    <n v="8"/>
    <d v="2025-02-12T00:00:00"/>
    <s v="2 Petterle Road"/>
    <x v="47"/>
    <s v="Pending"/>
    <n v="3"/>
    <n v="99"/>
    <s v="Reoeder required"/>
    <s v="Available"/>
  </r>
  <r>
    <s v="81-605-6246"/>
    <x v="44"/>
    <s v="Seafood"/>
    <s v="Shufflester"/>
    <x v="49"/>
    <n v="31"/>
    <n v="49"/>
    <n v="6"/>
    <d v="2024-03-02T00:00:00"/>
    <s v="65721 Caliangt Crossing"/>
    <x v="70"/>
    <s v="Fulfilled"/>
    <n v="4"/>
    <n v="47"/>
    <s v="Sufficient"/>
    <s v="Available"/>
  </r>
  <r>
    <s v="73-561-2867"/>
    <x v="40"/>
    <s v="Bakery"/>
    <s v="Eayo"/>
    <x v="3"/>
    <n v="86"/>
    <n v="98"/>
    <n v="4"/>
    <d v="2024-06-29T00:00:00"/>
    <s v="7444 Saint Paul Circle"/>
    <x v="71"/>
    <s v="Pending"/>
    <n v="4"/>
    <n v="86"/>
    <s v="Reoeder required"/>
    <s v="Available"/>
  </r>
  <r>
    <s v="19-967-0632"/>
    <x v="33"/>
    <s v="Grains &amp; Pulses"/>
    <s v="Yombu"/>
    <x v="58"/>
    <n v="86"/>
    <n v="54"/>
    <n v="3"/>
    <d v="2025-02-04T00:00:00"/>
    <s v="6990 Kings Place"/>
    <x v="37"/>
    <s v="Fulfilled"/>
    <n v="8"/>
    <n v="3"/>
    <s v="Reoeder required"/>
    <s v="Available"/>
  </r>
  <r>
    <s v="23-070-2433"/>
    <x v="86"/>
    <s v="Grains &amp; Pulses"/>
    <s v="Meeveo"/>
    <x v="75"/>
    <n v="7"/>
    <n v="37"/>
    <n v="2.5"/>
    <d v="2024-04-11T00:00:00"/>
    <s v="836 Brown Alley"/>
    <x v="12"/>
    <s v="Pending"/>
    <n v="1"/>
    <n v="1"/>
    <s v="Sufficient"/>
    <s v="Available"/>
  </r>
  <r>
    <s v="27-262-2437"/>
    <x v="15"/>
    <s v="Dairy"/>
    <s v="Skidoo"/>
    <x v="76"/>
    <n v="9"/>
    <n v="29"/>
    <n v="8.1"/>
    <d v="2024-11-20T00:00:00"/>
    <s v="739 Swallow Road"/>
    <x v="46"/>
    <s v="Fulfilled"/>
    <n v="7"/>
    <n v="62"/>
    <s v="Sufficient"/>
    <s v="Available"/>
  </r>
  <r>
    <s v="39-479-5147"/>
    <x v="82"/>
    <s v="Seafood"/>
    <s v="Meedoo"/>
    <x v="40"/>
    <n v="68"/>
    <n v="79"/>
    <n v="18"/>
    <d v="2024-08-18T00:00:00"/>
    <s v="14 Talmadge Park"/>
    <x v="35"/>
    <s v="Fulfilled"/>
    <n v="5"/>
    <n v="57"/>
    <s v="Sufficient"/>
    <s v="Available"/>
  </r>
  <r>
    <s v="71-085-4290"/>
    <x v="26"/>
    <s v="Fruits &amp; Vegetables"/>
    <s v="Eire"/>
    <x v="22"/>
    <n v="98"/>
    <n v="72"/>
    <n v="1.8"/>
    <d v="2024-10-07T00:00:00"/>
    <s v="2 Basil Street"/>
    <x v="56"/>
    <s v="Pending"/>
    <n v="5"/>
    <n v="29"/>
    <s v="Reoeder required"/>
    <s v="Available"/>
  </r>
  <r>
    <s v="48-957-6116"/>
    <x v="51"/>
    <s v="Fruits &amp; Vegetables"/>
    <s v="Topicstorm"/>
    <x v="22"/>
    <n v="44"/>
    <n v="9"/>
    <n v="3"/>
    <d v="2024-05-16T00:00:00"/>
    <s v="938 Hanover Point"/>
    <x v="17"/>
    <s v="Pending"/>
    <n v="5"/>
    <n v="9"/>
    <s v="Reoeder required"/>
    <s v="Available"/>
  </r>
  <r>
    <s v="83-917-7384"/>
    <x v="64"/>
    <s v="Fruits &amp; Vegetables"/>
    <s v="Tavu"/>
    <x v="77"/>
    <n v="97"/>
    <n v="20"/>
    <n v="7"/>
    <d v="2024-08-24T00:00:00"/>
    <s v="3 Ilene Terrace"/>
    <x v="20"/>
    <s v="Fulfilled"/>
    <n v="2"/>
    <n v="82"/>
    <s v="Reoeder required"/>
    <s v="Available"/>
  </r>
  <r>
    <s v="26-031-8070"/>
    <x v="87"/>
    <s v="Oils &amp; Fats"/>
    <s v="Trudeo"/>
    <x v="63"/>
    <n v="99"/>
    <n v="23"/>
    <n v="2"/>
    <d v="2024-05-25T00:00:00"/>
    <s v="5414 Linden Point"/>
    <x v="72"/>
    <s v="Pending"/>
    <n v="1"/>
    <n v="21"/>
    <s v="Reoeder required"/>
    <s v="Available"/>
  </r>
  <r>
    <s v="03-149-9760"/>
    <x v="68"/>
    <s v="Dairy"/>
    <s v="Yotz"/>
    <x v="40"/>
    <n v="99"/>
    <n v="93"/>
    <n v="4"/>
    <d v="2024-07-13T00:00:00"/>
    <s v="554 Eliot Point"/>
    <x v="31"/>
    <s v="Fulfilled"/>
    <n v="1"/>
    <n v="90"/>
    <s v="Reoeder required"/>
    <s v="Available"/>
  </r>
  <r>
    <s v="53-680-5293"/>
    <x v="88"/>
    <s v="Dairy"/>
    <s v="Demizz"/>
    <x v="20"/>
    <n v="74"/>
    <n v="97"/>
    <n v="9"/>
    <d v="2024-05-31T00:00:00"/>
    <s v="97687 Mendota Terrace"/>
    <x v="33"/>
    <s v="Fulfilled"/>
    <n v="8"/>
    <n v="5"/>
    <s v="Sufficient"/>
    <s v="Available"/>
  </r>
  <r>
    <s v="49-861-7823"/>
    <x v="72"/>
    <s v="Fruits &amp; Vegetables"/>
    <s v="Skippad"/>
    <x v="47"/>
    <n v="8"/>
    <n v="27"/>
    <n v="5"/>
    <d v="2024-07-13T00:00:00"/>
    <s v="26 Graceland Circle"/>
    <x v="69"/>
    <s v="Fulfilled"/>
    <n v="2"/>
    <n v="50"/>
    <s v="Sufficient"/>
    <s v="Available"/>
  </r>
  <r>
    <s v="24-364-3341"/>
    <x v="89"/>
    <s v="Dairy"/>
    <s v="Topiclounge"/>
    <x v="7"/>
    <n v="84"/>
    <n v="63"/>
    <n v="2.5"/>
    <d v="2024-04-11T00:00:00"/>
    <s v="120 Gale Circle"/>
    <x v="32"/>
    <s v="Pending"/>
    <n v="5"/>
    <n v="67"/>
    <s v="Reoeder required"/>
    <s v="Available"/>
  </r>
  <r>
    <s v="80-374-5711"/>
    <x v="29"/>
    <s v="Beverages"/>
    <s v="Browsecat"/>
    <x v="32"/>
    <n v="77"/>
    <n v="81"/>
    <n v="31"/>
    <d v="2024-10-05T00:00:00"/>
    <s v="13 Bluejay Way"/>
    <x v="73"/>
    <s v="Pending"/>
    <n v="8"/>
    <n v="74"/>
    <s v="Reoeder required"/>
    <s v="Available"/>
  </r>
  <r>
    <s v="76-325-9093"/>
    <x v="90"/>
    <s v="Oils &amp; Fats"/>
    <s v="Feedbug"/>
    <x v="15"/>
    <n v="92"/>
    <n v="56"/>
    <n v="6.5"/>
    <d v="2024-10-19T00:00:00"/>
    <s v="01471 Burrows Lane"/>
    <x v="18"/>
    <s v="Pending"/>
    <n v="4"/>
    <n v="32"/>
    <s v="Reoeder required"/>
    <s v="Available"/>
  </r>
  <r>
    <s v="30-429-2162"/>
    <x v="2"/>
    <s v="Grains &amp; Pulses"/>
    <s v="Npath"/>
    <x v="68"/>
    <n v="96"/>
    <n v="76"/>
    <n v="6.15"/>
    <d v="2024-12-06T00:00:00"/>
    <s v="6382 Anniversary Pass"/>
    <x v="54"/>
    <s v="Pending"/>
    <n v="6"/>
    <n v="34"/>
    <s v="Reoeder required"/>
    <s v="Available"/>
  </r>
  <r>
    <s v="53-446-8243"/>
    <x v="41"/>
    <s v="Fruits &amp; Vegetables"/>
    <s v="Skipfire"/>
    <x v="41"/>
    <n v="94"/>
    <n v="4"/>
    <n v="3"/>
    <d v="2024-07-26T00:00:00"/>
    <s v="757 Grasskamp Drive"/>
    <x v="74"/>
    <s v="Pending"/>
    <n v="7"/>
    <n v="92"/>
    <s v="Reoeder required"/>
    <s v="Available"/>
  </r>
  <r>
    <s v="67-473-7093"/>
    <x v="46"/>
    <s v="Beverages"/>
    <s v="Topicstorm"/>
    <x v="61"/>
    <n v="12"/>
    <n v="85"/>
    <n v="5"/>
    <d v="2024-03-20T00:00:00"/>
    <s v="87417 Forest Pass"/>
    <x v="20"/>
    <s v="Fulfilled"/>
    <n v="7"/>
    <n v="46"/>
    <s v="Sufficient"/>
    <s v="Available"/>
  </r>
  <r>
    <s v="98-235-2711"/>
    <x v="91"/>
    <s v="Fruits &amp; Vegetables"/>
    <s v="Devpoint"/>
    <x v="0"/>
    <n v="40"/>
    <n v="7"/>
    <n v="5"/>
    <d v="2024-12-31T00:00:00"/>
    <s v="5 Transport Pass"/>
    <x v="60"/>
    <s v="Pending"/>
    <n v="8"/>
    <n v="60"/>
    <s v="Reoeder required"/>
    <s v="Available"/>
  </r>
  <r>
    <s v="07-219-8017"/>
    <x v="63"/>
    <s v="Oils &amp; Fats"/>
    <s v="Skibox"/>
    <x v="69"/>
    <n v="2"/>
    <n v="58"/>
    <n v="1.8"/>
    <d v="2024-08-13T00:00:00"/>
    <s v="357 High Crossing Parkway"/>
    <x v="75"/>
    <s v="Pending"/>
    <n v="8"/>
    <n v="10"/>
    <s v="Sufficient"/>
    <s v="Available"/>
  </r>
  <r>
    <s v="97-040-3822"/>
    <x v="15"/>
    <s v="Dairy"/>
    <s v="Gevee"/>
    <x v="74"/>
    <n v="99"/>
    <n v="73"/>
    <n v="8"/>
    <d v="2024-08-23T00:00:00"/>
    <s v="42 Clemons Terrace"/>
    <x v="27"/>
    <s v="Fulfilled"/>
    <n v="2"/>
    <n v="1"/>
    <s v="Reoeder required"/>
    <s v="Available"/>
  </r>
  <r>
    <s v="10-002-6494"/>
    <x v="34"/>
    <s v="Fruits &amp; Vegetables"/>
    <s v="Meevee"/>
    <x v="52"/>
    <n v="92"/>
    <n v="62"/>
    <n v="4.8"/>
    <d v="2024-07-08T00:00:00"/>
    <s v="48 Vahlen Place"/>
    <x v="17"/>
    <s v="Fulfilled"/>
    <n v="4"/>
    <n v="11"/>
    <s v="Reoeder required"/>
    <s v="Available"/>
  </r>
  <r>
    <s v="12-998-3882"/>
    <x v="89"/>
    <s v="Dairy"/>
    <s v="Bluezoom"/>
    <x v="77"/>
    <n v="54"/>
    <n v="76"/>
    <n v="2.5"/>
    <d v="2024-08-17T00:00:00"/>
    <s v="94862 Beilfuss Terrace"/>
    <x v="12"/>
    <s v="Fulfilled"/>
    <n v="7"/>
    <n v="27"/>
    <s v="Sufficient"/>
    <s v="Available"/>
  </r>
  <r>
    <s v="31-746-4951"/>
    <x v="92"/>
    <s v="Grains &amp; Pulses"/>
    <s v="Gigaclub"/>
    <x v="38"/>
    <n v="60"/>
    <n v="21"/>
    <n v="2.75"/>
    <d v="2024-05-20T00:00:00"/>
    <s v="759 Waywood Court"/>
    <x v="43"/>
    <s v="Fulfilled"/>
    <n v="1"/>
    <n v="6"/>
    <s v="Sufficient"/>
    <s v="Available"/>
  </r>
  <r>
    <s v="87-097-5691"/>
    <x v="93"/>
    <s v="Beverages"/>
    <s v="Photofeed"/>
    <x v="10"/>
    <n v="78"/>
    <n v="97"/>
    <n v="10"/>
    <d v="2024-08-29T00:00:00"/>
    <s v="236 Gateway Lane"/>
    <x v="4"/>
    <s v="Fulfilled"/>
    <n v="5"/>
    <n v="97"/>
    <s v="Reoeder required"/>
    <s v="Available"/>
  </r>
  <r>
    <s v="34-075-0371"/>
    <x v="94"/>
    <s v="Fruits &amp; Vegetables"/>
    <s v="Latz"/>
    <x v="31"/>
    <n v="10"/>
    <n v="68"/>
    <n v="3"/>
    <d v="2025-01-10T00:00:00"/>
    <s v="0039 Shelley Place"/>
    <x v="54"/>
    <s v="Pending"/>
    <n v="4"/>
    <n v="42"/>
    <s v="Sufficient"/>
    <s v="Available"/>
  </r>
  <r>
    <s v="40-810-9261"/>
    <x v="43"/>
    <s v="Beverages"/>
    <s v="Cogibox"/>
    <x v="31"/>
    <n v="47"/>
    <n v="33"/>
    <n v="12.5"/>
    <d v="2024-12-09T00:00:00"/>
    <s v="3 Raven Court"/>
    <x v="55"/>
    <s v="Fulfilled"/>
    <n v="1"/>
    <n v="12"/>
    <s v="Sufficient"/>
    <s v="Available"/>
  </r>
  <r>
    <s v="46-931-6897"/>
    <x v="58"/>
    <s v="Dairy"/>
    <s v="Meevee"/>
    <x v="50"/>
    <n v="32"/>
    <n v="26"/>
    <n v="2.5"/>
    <d v="2024-06-15T00:00:00"/>
    <s v="44 Kensington Road"/>
    <x v="44"/>
    <s v="Pending"/>
    <n v="8"/>
    <n v="85"/>
    <s v="Reoeder required"/>
    <s v="Available"/>
  </r>
  <r>
    <s v="58-182-6781"/>
    <x v="24"/>
    <s v="Bakery"/>
    <s v="Pixope"/>
    <x v="68"/>
    <n v="55"/>
    <n v="22"/>
    <n v="5"/>
    <d v="2024-06-29T00:00:00"/>
    <s v="86 Maryland Junction"/>
    <x v="76"/>
    <s v="Pending"/>
    <n v="8"/>
    <n v="85"/>
    <s v="Reoeder required"/>
    <s v="Available"/>
  </r>
  <r>
    <s v="06-706-6490"/>
    <x v="85"/>
    <s v="Beverages"/>
    <s v="Tanoodle"/>
    <x v="72"/>
    <n v="66"/>
    <n v="85"/>
    <n v="8"/>
    <d v="2024-07-03T00:00:00"/>
    <s v="443 Browning Terrace"/>
    <x v="30"/>
    <s v="Pending"/>
    <n v="2"/>
    <n v="40"/>
    <s v="Reoeder required"/>
    <s v="Available"/>
  </r>
  <r>
    <s v="47-578-4161"/>
    <x v="95"/>
    <s v="Seafood"/>
    <s v="Jaxspan"/>
    <x v="20"/>
    <n v="56"/>
    <n v="81"/>
    <n v="10"/>
    <d v="2024-03-10T00:00:00"/>
    <s v="5 Forest Run Way"/>
    <x v="60"/>
    <s v="Pending"/>
    <n v="4"/>
    <n v="86"/>
    <s v="Sufficient"/>
    <s v="Available"/>
  </r>
  <r>
    <s v="18-199-5799"/>
    <x v="88"/>
    <s v="Dairy"/>
    <s v="Jayo"/>
    <x v="69"/>
    <n v="81"/>
    <n v="40"/>
    <n v="9"/>
    <d v="2024-04-28T00:00:00"/>
    <s v="87784 Blaine Way"/>
    <x v="35"/>
    <s v="Fulfilled"/>
    <n v="4"/>
    <n v="48"/>
    <s v="Reoeder required"/>
    <s v="Available"/>
  </r>
  <r>
    <s v="00-357-2313"/>
    <x v="80"/>
    <s v="Oils &amp; Fats"/>
    <s v="Quamba"/>
    <x v="78"/>
    <n v="86"/>
    <n v="23"/>
    <n v="10"/>
    <d v="2024-11-26T00:00:00"/>
    <s v="0 Oxford Crossing"/>
    <x v="38"/>
    <s v="Pending"/>
    <n v="3"/>
    <n v="52"/>
    <s v="Reoeder required"/>
    <s v="Available"/>
  </r>
  <r>
    <s v="83-704-6367"/>
    <x v="1"/>
    <s v="Beverages"/>
    <s v="Feedmix"/>
    <x v="55"/>
    <n v="87"/>
    <n v="12"/>
    <n v="21"/>
    <d v="2024-09-02T00:00:00"/>
    <s v="298 Corry Plaza"/>
    <x v="14"/>
    <s v="Fulfilled"/>
    <n v="7"/>
    <n v="38"/>
    <s v="Reoeder required"/>
    <s v="Available"/>
  </r>
  <r>
    <s v="01-144-5960"/>
    <x v="17"/>
    <s v="Seafood"/>
    <s v="Zazio"/>
    <x v="31"/>
    <n v="25"/>
    <n v="99"/>
    <n v="12"/>
    <d v="2024-05-29T00:00:00"/>
    <s v="52105 Mandrake Place"/>
    <x v="72"/>
    <s v="Pending"/>
    <n v="1"/>
    <n v="42"/>
    <s v="Sufficient"/>
    <s v="Available"/>
  </r>
  <r>
    <s v="96-774-0457"/>
    <x v="73"/>
    <s v="Seafood"/>
    <s v="Izio"/>
    <x v="61"/>
    <n v="50"/>
    <n v="80"/>
    <n v="8"/>
    <d v="2024-03-12T00:00:00"/>
    <s v="7369 Thackeray Drive"/>
    <x v="77"/>
    <s v="Pending"/>
    <n v="4"/>
    <n v="5"/>
    <s v="Sufficient"/>
    <s v="Available"/>
  </r>
  <r>
    <s v="24-310-9184"/>
    <x v="11"/>
    <s v="Bakery"/>
    <s v="Brainlounge"/>
    <x v="79"/>
    <n v="65"/>
    <n v="91"/>
    <n v="3"/>
    <d v="2024-07-26T00:00:00"/>
    <s v="6 Haas Circle"/>
    <x v="60"/>
    <s v="Pending"/>
    <n v="3"/>
    <n v="50"/>
    <s v="Sufficient"/>
    <s v="Available"/>
  </r>
  <r>
    <s v="10-255-8579"/>
    <x v="96"/>
    <s v="Grains &amp; Pulses"/>
    <s v="Trilia"/>
    <x v="61"/>
    <n v="53"/>
    <n v="77"/>
    <n v="4.5"/>
    <d v="2024-07-24T00:00:00"/>
    <s v="1959 Marcy Center"/>
    <x v="12"/>
    <s v="Pending"/>
    <n v="4"/>
    <n v="69"/>
    <s v="Sufficient"/>
    <s v="Available"/>
  </r>
  <r>
    <s v="38-417-4656"/>
    <x v="10"/>
    <s v="Grains &amp; Pulses"/>
    <s v="Dazzlesphere"/>
    <x v="35"/>
    <n v="69"/>
    <n v="2"/>
    <n v="2"/>
    <d v="2024-04-13T00:00:00"/>
    <s v="1309 Elka Junction"/>
    <x v="14"/>
    <s v="Fulfilled"/>
    <n v="1"/>
    <n v="20"/>
    <s v="Reoeder required"/>
    <s v="Available"/>
  </r>
  <r>
    <s v="53-080-8252"/>
    <x v="40"/>
    <s v="Bakery"/>
    <s v="Thoughtstorm"/>
    <x v="2"/>
    <n v="85"/>
    <n v="21"/>
    <n v="4.5"/>
    <d v="2024-09-24T00:00:00"/>
    <s v="2 Grayhawk Junction"/>
    <x v="0"/>
    <s v="Pending"/>
    <n v="1"/>
    <n v="83"/>
    <s v="Reoeder required"/>
    <s v="Available"/>
  </r>
  <r>
    <s v="14-681-7035"/>
    <x v="48"/>
    <s v="Beverages"/>
    <s v="Voolith"/>
    <x v="80"/>
    <n v="90"/>
    <n v="57"/>
    <n v="25"/>
    <d v="2024-08-07T00:00:00"/>
    <s v="95261 Morningstar Way"/>
    <x v="41"/>
    <s v="Fulfilled"/>
    <n v="8"/>
    <n v="68"/>
    <s v="Reoeder required"/>
    <s v="Available"/>
  </r>
  <r>
    <s v="96-503-7712"/>
    <x v="42"/>
    <s v="Bakery"/>
    <s v="Twitterbridge"/>
    <x v="81"/>
    <n v="76"/>
    <n v="82"/>
    <n v="2.5"/>
    <d v="2024-07-28T00:00:00"/>
    <s v="84148 Prairie Rose Center"/>
    <x v="50"/>
    <s v="Fulfilled"/>
    <n v="4"/>
    <n v="51"/>
    <s v="Sufficient"/>
    <s v="Available"/>
  </r>
  <r>
    <s v="98-064-4465"/>
    <x v="49"/>
    <s v="Dairy"/>
    <s v="Feedfire"/>
    <x v="6"/>
    <n v="38"/>
    <n v="17"/>
    <n v="7"/>
    <d v="2024-10-01T00:00:00"/>
    <s v="109 Twin Pines Avenue"/>
    <x v="53"/>
    <s v="Fulfilled"/>
    <n v="3"/>
    <n v="84"/>
    <s v="Sufficient"/>
    <s v="Available"/>
  </r>
  <r>
    <s v="84-198-7276"/>
    <x v="59"/>
    <s v="Oils &amp; Fats"/>
    <s v="Eidel"/>
    <x v="34"/>
    <n v="88"/>
    <n v="65"/>
    <n v="4"/>
    <d v="2025-01-16T00:00:00"/>
    <s v="6 Harbort Hill"/>
    <x v="24"/>
    <s v="Pending"/>
    <n v="7"/>
    <n v="15"/>
    <s v="Reoeder required"/>
    <s v="Available"/>
  </r>
  <r>
    <s v="18-278-2383"/>
    <x v="81"/>
    <s v="Dairy"/>
    <s v="Skimia"/>
    <x v="23"/>
    <n v="77"/>
    <n v="13"/>
    <n v="7"/>
    <d v="2024-09-15T00:00:00"/>
    <s v="96 American Center"/>
    <x v="31"/>
    <s v="Fulfilled"/>
    <n v="8"/>
    <n v="40"/>
    <s v="Sufficient"/>
    <s v="Available"/>
  </r>
  <r>
    <s v="20-054-3716"/>
    <x v="61"/>
    <s v="Bakery"/>
    <s v="JumpXS"/>
    <x v="73"/>
    <n v="6"/>
    <n v="100"/>
    <n v="5"/>
    <d v="2024-09-16T00:00:00"/>
    <s v="39 Lakewood Gardens Center"/>
    <x v="74"/>
    <s v="Pending"/>
    <n v="5"/>
    <n v="24"/>
    <s v="Sufficient"/>
    <s v="Available"/>
  </r>
  <r>
    <s v="63-822-5278"/>
    <x v="75"/>
    <s v="Fruits &amp; Vegetables"/>
    <s v="Kamba"/>
    <x v="39"/>
    <n v="66"/>
    <n v="1"/>
    <n v="6"/>
    <d v="2024-12-13T00:00:00"/>
    <s v="5900 Vahlen Avenue"/>
    <x v="52"/>
    <s v="Pending"/>
    <n v="8"/>
    <n v="15"/>
    <s v="Reoeder required"/>
    <s v="Available"/>
  </r>
  <r>
    <s v="01-439-6231"/>
    <x v="97"/>
    <s v="Oils &amp; Fats"/>
    <s v="Skidoo"/>
    <x v="20"/>
    <n v="100"/>
    <n v="17"/>
    <n v="2.5"/>
    <d v="2024-10-28T00:00:00"/>
    <s v="8 Spaight Circle"/>
    <x v="28"/>
    <s v="Fulfilled"/>
    <n v="2"/>
    <n v="28"/>
    <s v="Reoeder required"/>
    <s v="Available"/>
  </r>
  <r>
    <s v="06-690-2335"/>
    <x v="65"/>
    <s v="Grains &amp; Pulses"/>
    <s v="Jabbertype"/>
    <x v="35"/>
    <n v="15"/>
    <n v="6"/>
    <n v="4.75"/>
    <d v="2024-06-16T00:00:00"/>
    <s v="5 Linden Terrace"/>
    <x v="41"/>
    <s v="Pending"/>
    <n v="5"/>
    <n v="4"/>
    <s v="Sufficient"/>
    <s v="Available"/>
  </r>
  <r>
    <s v="47-554-5780"/>
    <x v="30"/>
    <s v="Seafood"/>
    <s v="Babbleopia"/>
    <x v="81"/>
    <n v="62"/>
    <n v="65"/>
    <n v="9"/>
    <d v="2024-06-22T00:00:00"/>
    <s v="1 Westport Crossing"/>
    <x v="16"/>
    <s v="Fulfilled"/>
    <n v="6"/>
    <n v="87"/>
    <s v="Sufficient"/>
    <s v="Available"/>
  </r>
  <r>
    <s v="70-587-1204"/>
    <x v="2"/>
    <s v="Grains &amp; Pulses"/>
    <s v="Reallinks"/>
    <x v="75"/>
    <n v="68"/>
    <n v="97"/>
    <n v="6"/>
    <d v="2024-07-15T00:00:00"/>
    <s v="2446 Anhalt Way"/>
    <x v="36"/>
    <s v="Fulfilled"/>
    <n v="4"/>
    <n v="31"/>
    <s v="Reoeder required"/>
    <s v="Available"/>
  </r>
  <r>
    <s v="97-710-2449"/>
    <x v="11"/>
    <s v="Bakery"/>
    <s v="Tanoodle"/>
    <x v="44"/>
    <n v="94"/>
    <n v="80"/>
    <n v="2.8"/>
    <d v="2025-01-23T00:00:00"/>
    <s v="0 Miller Pass"/>
    <x v="2"/>
    <s v="Pending"/>
    <n v="4"/>
    <n v="1"/>
    <s v="Reoeder required"/>
    <s v="Available"/>
  </r>
  <r>
    <s v="51-462-0747"/>
    <x v="98"/>
    <s v="Fruits &amp; Vegetables"/>
    <s v="Vinder"/>
    <x v="55"/>
    <n v="30"/>
    <n v="32"/>
    <n v="2"/>
    <d v="2025-02-07T00:00:00"/>
    <s v="453 Dryden Park"/>
    <x v="31"/>
    <s v="Pending"/>
    <n v="4"/>
    <n v="54"/>
    <s v="Reoeder required"/>
    <s v="Available"/>
  </r>
  <r>
    <s v="90-492-0564"/>
    <x v="75"/>
    <s v="Fruits &amp; Vegetables"/>
    <s v="Shuffledrive"/>
    <x v="40"/>
    <n v="96"/>
    <n v="56"/>
    <n v="6"/>
    <d v="2024-06-25T00:00:00"/>
    <s v="54 Pawling Crossing"/>
    <x v="0"/>
    <s v="Fulfilled"/>
    <n v="4"/>
    <n v="22"/>
    <s v="Reoeder required"/>
    <s v="Available"/>
  </r>
  <r>
    <s v="63-956-0739"/>
    <x v="93"/>
    <s v="Beverages"/>
    <s v="Jetwire"/>
    <x v="75"/>
    <n v="12"/>
    <n v="42"/>
    <n v="10"/>
    <d v="2025-02-21T00:00:00"/>
    <s v="6808 Chinook Parkway"/>
    <x v="34"/>
    <s v="Fulfilled"/>
    <n v="2"/>
    <n v="6"/>
    <s v="Sufficient"/>
    <s v="Available"/>
  </r>
  <r>
    <s v="30-832-5429"/>
    <x v="38"/>
    <s v="Bakery"/>
    <s v="Topicshots"/>
    <x v="29"/>
    <n v="43"/>
    <n v="46"/>
    <n v="3.5"/>
    <d v="2024-10-05T00:00:00"/>
    <s v="894 Kingsford Road"/>
    <x v="58"/>
    <s v="Pending"/>
    <n v="4"/>
    <n v="59"/>
    <s v="Sufficient"/>
    <s v="Available"/>
  </r>
  <r>
    <s v="38-822-8005"/>
    <x v="26"/>
    <s v="Fruits &amp; Vegetables"/>
    <s v="Innojam"/>
    <x v="28"/>
    <n v="20"/>
    <n v="65"/>
    <n v="1.75"/>
    <d v="2025-01-12T00:00:00"/>
    <s v="6 Stang Hill"/>
    <x v="65"/>
    <s v="Pending"/>
    <n v="1"/>
    <n v="19"/>
    <s v="Sufficient"/>
    <s v="Available"/>
  </r>
  <r>
    <s v="73-118-1117"/>
    <x v="28"/>
    <s v="Oils &amp; Fats"/>
    <s v="Layo"/>
    <x v="60"/>
    <n v="88"/>
    <n v="55"/>
    <n v="6"/>
    <d v="2024-05-05T00:00:00"/>
    <s v="482 Green Center"/>
    <x v="10"/>
    <s v="Pending"/>
    <n v="8"/>
    <n v="46"/>
    <s v="Reoeder required"/>
    <s v="Available"/>
  </r>
  <r>
    <s v="60-285-3783"/>
    <x v="23"/>
    <s v="Fruits &amp; Vegetables"/>
    <s v="Youfeed"/>
    <x v="37"/>
    <n v="62"/>
    <n v="95"/>
    <n v="6"/>
    <d v="2024-03-28T00:00:00"/>
    <s v="37973 Parkside Junction"/>
    <x v="20"/>
    <s v="Pending"/>
    <n v="7"/>
    <n v="21"/>
    <s v="Reoeder required"/>
    <s v="Available"/>
  </r>
  <r>
    <s v="00-215-7434"/>
    <x v="7"/>
    <s v="Dairy"/>
    <s v="Quatz"/>
    <x v="39"/>
    <n v="63"/>
    <n v="74"/>
    <n v="2.5"/>
    <d v="2025-02-19T00:00:00"/>
    <s v="389 Ridgeway Park"/>
    <x v="22"/>
    <s v="Pending"/>
    <n v="3"/>
    <n v="63"/>
    <s v="Reoeder required"/>
    <s v="Available"/>
  </r>
  <r>
    <s v="68-734-1585"/>
    <x v="8"/>
    <s v="Fruits &amp; Vegetables"/>
    <s v="Meeveo"/>
    <x v="10"/>
    <n v="44"/>
    <n v="11"/>
    <n v="51.17"/>
    <d v="2024-04-16T00:00:00"/>
    <s v="3 Hagan Drive"/>
    <x v="57"/>
    <s v="Pending"/>
    <n v="4"/>
    <n v="37"/>
    <s v="Sufficient"/>
    <s v="Available"/>
  </r>
  <r>
    <s v="08-703-1382"/>
    <x v="76"/>
    <s v="Fruits &amp; Vegetables"/>
    <s v="Wikizz"/>
    <x v="69"/>
    <n v="53"/>
    <n v="7"/>
    <n v="4"/>
    <d v="2024-03-06T00:00:00"/>
    <s v="082 Clove Plaza"/>
    <x v="73"/>
    <s v="Pending"/>
    <n v="5"/>
    <n v="20"/>
    <s v="Reoeder required"/>
    <s v="Available"/>
  </r>
  <r>
    <s v="65-282-0419"/>
    <x v="48"/>
    <s v="Beverages"/>
    <s v="Feedbug"/>
    <x v="74"/>
    <n v="100"/>
    <n v="91"/>
    <n v="25.5"/>
    <d v="2024-07-17T00:00:00"/>
    <s v="509 Waywood Center"/>
    <x v="18"/>
    <s v="Fulfilled"/>
    <n v="2"/>
    <n v="31"/>
    <s v="Reoeder required"/>
    <s v="Available"/>
  </r>
  <r>
    <s v="62-777-6010"/>
    <x v="0"/>
    <s v="Grains &amp; Pulses"/>
    <s v="Katz"/>
    <x v="25"/>
    <n v="20"/>
    <n v="37"/>
    <n v="4.25"/>
    <d v="2024-03-06T00:00:00"/>
    <s v="5743 Superior Place"/>
    <x v="27"/>
    <s v="Fulfilled"/>
    <n v="4"/>
    <n v="19"/>
    <s v="Sufficient"/>
    <s v="Available"/>
  </r>
  <r>
    <s v="87-675-1506"/>
    <x v="12"/>
    <s v="Fruits &amp; Vegetables"/>
    <s v="Skalith"/>
    <x v="22"/>
    <n v="89"/>
    <n v="7"/>
    <n v="5.9"/>
    <d v="2024-12-07T00:00:00"/>
    <s v="60241 Portage Point"/>
    <x v="17"/>
    <s v="Pending"/>
    <n v="6"/>
    <n v="54"/>
    <s v="Reoeder required"/>
    <s v="Available"/>
  </r>
  <r>
    <s v="67-027-7269"/>
    <x v="23"/>
    <s v="Fruits &amp; Vegetables"/>
    <s v="Twitterbeat"/>
    <x v="51"/>
    <n v="19"/>
    <n v="30"/>
    <n v="6.5"/>
    <d v="2024-11-30T00:00:00"/>
    <s v="615 Mayer Drive"/>
    <x v="74"/>
    <s v="Pending"/>
    <n v="1"/>
    <n v="6"/>
    <s v="Sufficient"/>
    <s v="Available"/>
  </r>
  <r>
    <s v="72-066-4597"/>
    <x v="50"/>
    <s v="Fruits &amp; Vegetables"/>
    <s v="Zoovu"/>
    <x v="22"/>
    <n v="54"/>
    <n v="52"/>
    <n v="4"/>
    <d v="2024-12-08T00:00:00"/>
    <s v="03 Fisk Alley"/>
    <x v="12"/>
    <s v="Pending"/>
    <n v="6"/>
    <n v="77"/>
    <s v="Reoeder required"/>
    <s v="Available"/>
  </r>
  <r>
    <s v="31-627-6025"/>
    <x v="42"/>
    <s v="Bakery"/>
    <s v="Ozu"/>
    <x v="61"/>
    <n v="62"/>
    <n v="64"/>
    <n v="2.5"/>
    <d v="2024-09-03T00:00:00"/>
    <s v="44638 Corscot Lane"/>
    <x v="8"/>
    <s v="Fulfilled"/>
    <n v="6"/>
    <n v="73"/>
    <s v="Reoeder required"/>
    <s v="Available"/>
  </r>
  <r>
    <s v="09-286-8107"/>
    <x v="8"/>
    <s v="Dairy"/>
    <s v="Skyndu"/>
    <x v="82"/>
    <n v="62"/>
    <n v="54"/>
    <n v="3"/>
    <d v="2024-09-07T00:00:00"/>
    <s v="75 Bunting Junction"/>
    <x v="73"/>
    <s v="Fulfilled"/>
    <n v="7"/>
    <n v="83"/>
    <s v="Sufficient"/>
    <s v="Available"/>
  </r>
  <r>
    <s v="77-013-1553"/>
    <x v="79"/>
    <s v="Oils &amp; Fats"/>
    <s v="Yodo"/>
    <x v="70"/>
    <n v="31"/>
    <n v="66"/>
    <n v="2.2999999999999998"/>
    <d v="2024-10-13T00:00:00"/>
    <s v="48788 Chinook Place"/>
    <x v="57"/>
    <s v="Pending"/>
    <n v="7"/>
    <n v="13"/>
    <s v="Sufficient"/>
    <s v="Available"/>
  </r>
  <r>
    <s v="15-762-1058"/>
    <x v="98"/>
    <s v="Fruits &amp; Vegetables"/>
    <s v="Tazz"/>
    <x v="50"/>
    <n v="83"/>
    <n v="91"/>
    <n v="2"/>
    <d v="2025-02-07T00:00:00"/>
    <s v="083 Mccormick Park"/>
    <x v="68"/>
    <s v="Pending"/>
    <n v="5"/>
    <n v="53"/>
    <s v="Reoeder required"/>
    <s v="Available"/>
  </r>
  <r>
    <s v="48-193-1199"/>
    <x v="79"/>
    <s v="Oils &amp; Fats"/>
    <s v="Omba"/>
    <x v="29"/>
    <n v="51"/>
    <n v="92"/>
    <n v="2.2999999999999998"/>
    <d v="2024-12-24T00:00:00"/>
    <s v="339 Paget Place"/>
    <x v="11"/>
    <s v="Pending"/>
    <n v="8"/>
    <n v="25"/>
    <s v="Reoeder required"/>
    <s v="Available"/>
  </r>
  <r>
    <s v="01-173-0029"/>
    <x v="60"/>
    <s v="Fruits &amp; Vegetables"/>
    <s v="DabZ"/>
    <x v="83"/>
    <n v="4"/>
    <n v="53"/>
    <n v="10"/>
    <d v="2024-07-05T00:00:00"/>
    <s v="8 Dakota Avenue"/>
    <x v="36"/>
    <s v="Fulfilled"/>
    <n v="2"/>
    <n v="53"/>
    <s v="Sufficient"/>
    <s v="Available"/>
  </r>
  <r>
    <s v="79-400-6216"/>
    <x v="49"/>
    <s v="Dairy"/>
    <s v="Devpoint"/>
    <x v="24"/>
    <n v="56"/>
    <n v="13"/>
    <n v="7.2"/>
    <d v="2024-03-10T00:00:00"/>
    <s v="4 Warbler Center"/>
    <x v="8"/>
    <s v="Pending"/>
    <n v="5"/>
    <n v="28"/>
    <s v="Reoeder required"/>
    <s v="Available"/>
  </r>
  <r>
    <s v="80-072-8774"/>
    <x v="82"/>
    <s v="Seafood"/>
    <s v="Viva"/>
    <x v="52"/>
    <n v="95"/>
    <n v="41"/>
    <n v="18"/>
    <d v="2024-07-06T00:00:00"/>
    <s v="239 Anderson Court"/>
    <x v="50"/>
    <s v="Fulfilled"/>
    <n v="5"/>
    <n v="96"/>
    <s v="Reoeder required"/>
    <s v="Available"/>
  </r>
  <r>
    <s v="78-689-8958"/>
    <x v="48"/>
    <s v="Beverages"/>
    <s v="Chatterbridge"/>
    <x v="53"/>
    <n v="43"/>
    <n v="43"/>
    <n v="25"/>
    <d v="2024-02-27T00:00:00"/>
    <s v="04 Mesta Parkway"/>
    <x v="21"/>
    <s v="Pending"/>
    <n v="4"/>
    <n v="6"/>
    <s v="Reoeder required"/>
    <s v="Available"/>
  </r>
  <r>
    <s v="57-562-2358"/>
    <x v="36"/>
    <s v="Beverages"/>
    <s v="Quamba"/>
    <x v="4"/>
    <n v="94"/>
    <n v="76"/>
    <n v="15"/>
    <d v="2025-01-19T00:00:00"/>
    <s v="00 6th Parkway"/>
    <x v="24"/>
    <s v="Pending"/>
    <n v="8"/>
    <n v="66"/>
    <s v="Reoeder required"/>
    <s v="Available"/>
  </r>
  <r>
    <s v="56-191-6497"/>
    <x v="14"/>
    <s v="Grains &amp; Pulses"/>
    <s v="Bubblebox"/>
    <x v="23"/>
    <n v="41"/>
    <n v="68"/>
    <n v="1.5"/>
    <d v="2024-10-04T00:00:00"/>
    <s v="844 Schurz Point"/>
    <x v="41"/>
    <s v="Fulfilled"/>
    <n v="4"/>
    <n v="16"/>
    <s v="Sufficient"/>
    <s v="Available"/>
  </r>
  <r>
    <s v="46-753-8430"/>
    <x v="13"/>
    <s v="Dairy"/>
    <s v="Rhynyx"/>
    <x v="84"/>
    <n v="77"/>
    <n v="7"/>
    <n v="7"/>
    <d v="2024-11-19T00:00:00"/>
    <s v="60356 Derek Lane"/>
    <x v="57"/>
    <s v="Fulfilled"/>
    <n v="2"/>
    <n v="29"/>
    <s v="Sufficient"/>
    <s v="Available"/>
  </r>
  <r>
    <s v="48-461-3742"/>
    <x v="39"/>
    <s v="Fruits &amp; Vegetables"/>
    <s v="Zooveo"/>
    <x v="4"/>
    <n v="8"/>
    <n v="50"/>
    <n v="6"/>
    <d v="2024-05-17T00:00:00"/>
    <s v="42719 Milwaukee Avenue"/>
    <x v="11"/>
    <s v="Pending"/>
    <n v="4"/>
    <n v="62"/>
    <s v="Sufficient"/>
    <s v="Available"/>
  </r>
  <r>
    <s v="16-354-8122"/>
    <x v="99"/>
    <s v="Bakery"/>
    <s v="BlogXS"/>
    <x v="23"/>
    <n v="99"/>
    <n v="96"/>
    <n v="4"/>
    <d v="2025-01-22T00:00:00"/>
    <s v="66 Raven Pass"/>
    <x v="42"/>
    <s v="Fulfilled"/>
    <n v="1"/>
    <n v="42"/>
    <s v="Reoeder required"/>
    <s v="Available"/>
  </r>
  <r>
    <s v="76-954-1442"/>
    <x v="1"/>
    <s v="Beverages"/>
    <s v="Mynte"/>
    <x v="23"/>
    <n v="77"/>
    <n v="99"/>
    <n v="20"/>
    <d v="2024-04-24T00:00:00"/>
    <s v="43024 Elka Avenue"/>
    <x v="49"/>
    <s v="Fulfilled"/>
    <n v="6"/>
    <n v="98"/>
    <s v="Sufficient"/>
    <s v="Available"/>
  </r>
  <r>
    <s v="44-476-0390"/>
    <x v="35"/>
    <s v="Fruits &amp; Vegetables"/>
    <s v="Flashspan"/>
    <x v="82"/>
    <n v="92"/>
    <n v="56"/>
    <n v="2.5"/>
    <d v="2024-04-27T00:00:00"/>
    <s v="022 Pierstorff Point"/>
    <x v="75"/>
    <s v="Fulfilled"/>
    <n v="5"/>
    <n v="13"/>
    <s v="Reoeder required"/>
    <s v="Available"/>
  </r>
  <r>
    <s v="35-617-3857"/>
    <x v="1"/>
    <s v="Beverages"/>
    <s v="Youspan"/>
    <x v="29"/>
    <n v="31"/>
    <n v="89"/>
    <n v="20"/>
    <d v="2024-03-21T00:00:00"/>
    <s v="292 Charing Cross Terrace"/>
    <x v="22"/>
    <s v="Pending"/>
    <n v="5"/>
    <n v="65"/>
    <s v="Sufficient"/>
    <s v="Available"/>
  </r>
  <r>
    <s v="94-029-2717"/>
    <x v="50"/>
    <s v="Fruits &amp; Vegetables"/>
    <s v="Jetpulse"/>
    <x v="69"/>
    <n v="8"/>
    <n v="98"/>
    <n v="4"/>
    <d v="2025-02-06T00:00:00"/>
    <s v="071 Nobel Circle"/>
    <x v="52"/>
    <s v="Pending"/>
    <n v="7"/>
    <n v="12"/>
    <s v="Sufficient"/>
    <s v="Available"/>
  </r>
  <r>
    <s v="49-526-7806"/>
    <x v="100"/>
    <s v="Fruits &amp; Vegetables"/>
    <s v="Yodoo"/>
    <x v="25"/>
    <n v="52"/>
    <n v="28"/>
    <n v="4"/>
    <d v="2024-11-19T00:00:00"/>
    <s v="6744 Helena Pass"/>
    <x v="67"/>
    <s v="Fulfilled"/>
    <n v="3"/>
    <n v="43"/>
    <s v="Sufficient"/>
    <s v="Available"/>
  </r>
  <r>
    <s v="99-137-1730"/>
    <x v="14"/>
    <s v="Grains &amp; Pulses"/>
    <s v="Skyndu"/>
    <x v="10"/>
    <n v="79"/>
    <n v="23"/>
    <n v="1.5"/>
    <d v="2024-02-28T00:00:00"/>
    <s v="4105 Fair Oaks Parkway"/>
    <x v="0"/>
    <s v="Fulfilled"/>
    <n v="3"/>
    <n v="80"/>
    <s v="Reoeder required"/>
    <s v="Available"/>
  </r>
  <r>
    <s v="27-442-3654"/>
    <x v="29"/>
    <s v="Beverages"/>
    <s v="Yoveo"/>
    <x v="43"/>
    <n v="17"/>
    <n v="1"/>
    <n v="30"/>
    <d v="2024-08-26T00:00:00"/>
    <s v="67677 Lakewood Gardens Way"/>
    <x v="12"/>
    <s v="Pending"/>
    <n v="4"/>
    <n v="82"/>
    <s v="Sufficient"/>
    <s v="Available"/>
  </r>
  <r>
    <s v="32-933-0329"/>
    <x v="60"/>
    <s v="Fruits &amp; Vegetables"/>
    <s v="Linklinks"/>
    <x v="65"/>
    <n v="38"/>
    <n v="54"/>
    <n v="10"/>
    <d v="2024-07-14T00:00:00"/>
    <s v="57150 Del Sol Alley"/>
    <x v="35"/>
    <s v="Pending"/>
    <n v="6"/>
    <n v="15"/>
    <s v="Reoeder required"/>
    <s v="Available"/>
  </r>
  <r>
    <s v="93-813-2419"/>
    <x v="99"/>
    <s v="Bakery"/>
    <s v="Dynabox"/>
    <x v="30"/>
    <n v="16"/>
    <n v="57"/>
    <n v="4"/>
    <d v="2024-04-09T00:00:00"/>
    <s v="7407 Farragut Pass"/>
    <x v="60"/>
    <s v="Pending"/>
    <n v="8"/>
    <n v="12"/>
    <s v="Sufficient"/>
    <s v="Available"/>
  </r>
  <r>
    <s v="85-440-3667"/>
    <x v="81"/>
    <s v="Dairy"/>
    <s v="Kamba"/>
    <x v="75"/>
    <n v="29"/>
    <n v="31"/>
    <n v="7"/>
    <d v="2024-06-03T00:00:00"/>
    <s v="6151 Forster Drive"/>
    <x v="59"/>
    <s v="Fulfilled"/>
    <n v="8"/>
    <n v="20"/>
    <s v="Sufficient"/>
    <s v="Available"/>
  </r>
  <r>
    <s v="77-224-2227"/>
    <x v="69"/>
    <s v="Grains &amp; Pulses"/>
    <s v="Eimbee"/>
    <x v="31"/>
    <n v="46"/>
    <n v="75"/>
    <n v="9.5"/>
    <d v="2024-09-30T00:00:00"/>
    <s v="5426 Fordem Pass"/>
    <x v="31"/>
    <s v="Fulfilled"/>
    <n v="8"/>
    <n v="77"/>
    <s v="Sufficient"/>
    <s v="Available"/>
  </r>
  <r>
    <s v="60-632-8752"/>
    <x v="61"/>
    <s v="Bakery"/>
    <s v="Trunyx"/>
    <x v="6"/>
    <n v="16"/>
    <n v="48"/>
    <n v="5"/>
    <d v="2024-04-04T00:00:00"/>
    <s v="48 Golf View Pass"/>
    <x v="78"/>
    <s v="Fulfilled"/>
    <n v="8"/>
    <n v="68"/>
    <s v="Sufficient"/>
    <s v="Available"/>
  </r>
  <r>
    <s v="99-561-4871"/>
    <x v="30"/>
    <s v="Seafood"/>
    <s v="Buzzdog"/>
    <x v="85"/>
    <n v="38"/>
    <n v="93"/>
    <n v="9"/>
    <d v="2024-08-20T00:00:00"/>
    <s v="952 Rowland Junction"/>
    <x v="10"/>
    <s v="Pending"/>
    <n v="5"/>
    <n v="63"/>
    <s v="Reoeder required"/>
    <s v="Available"/>
  </r>
  <r>
    <s v="61-607-7622"/>
    <x v="9"/>
    <s v="Dairy"/>
    <s v="Zoonoodle"/>
    <x v="65"/>
    <n v="38"/>
    <n v="25"/>
    <n v="1"/>
    <d v="2025-02-21T00:00:00"/>
    <s v="329 Helena Park"/>
    <x v="45"/>
    <s v="Pending"/>
    <n v="8"/>
    <n v="78"/>
    <s v="Reoeder required"/>
    <s v="Available"/>
  </r>
  <r>
    <s v="11-745-3025"/>
    <x v="76"/>
    <s v="Fruits &amp; Vegetables"/>
    <s v="Oyoloo"/>
    <x v="72"/>
    <n v="27"/>
    <n v="21"/>
    <n v="4"/>
    <d v="2025-02-21T00:00:00"/>
    <s v="3104 Ridge Oak Hill"/>
    <x v="36"/>
    <s v="Pending"/>
    <n v="5"/>
    <n v="67"/>
    <s v="Reoeder required"/>
    <s v="Available"/>
  </r>
  <r>
    <s v="56-810-0550"/>
    <x v="101"/>
    <s v="Seafood"/>
    <s v="Janyx"/>
    <x v="86"/>
    <n v="7"/>
    <n v="6"/>
    <n v="7.5"/>
    <d v="2024-12-02T00:00:00"/>
    <s v="376 Reinke Court"/>
    <x v="20"/>
    <s v="Fulfilled"/>
    <n v="5"/>
    <n v="68"/>
    <s v="Sufficient"/>
    <s v="Available"/>
  </r>
  <r>
    <s v="59-075-2457"/>
    <x v="7"/>
    <s v="Dairy"/>
    <s v="Dynava"/>
    <x v="23"/>
    <n v="26"/>
    <n v="15"/>
    <n v="2.5"/>
    <d v="2025-02-03T00:00:00"/>
    <s v="2 Barby Lane"/>
    <x v="55"/>
    <s v="Fulfilled"/>
    <n v="5"/>
    <n v="58"/>
    <s v="Sufficient"/>
    <s v="Available"/>
  </r>
  <r>
    <s v="40-021-2400"/>
    <x v="32"/>
    <s v="Fruits &amp; Vegetables"/>
    <s v="Katz"/>
    <x v="50"/>
    <n v="18"/>
    <n v="86"/>
    <n v="2.5"/>
    <d v="2024-11-16T00:00:00"/>
    <s v="265 Columbus Way"/>
    <x v="59"/>
    <s v="Pending"/>
    <n v="8"/>
    <n v="69"/>
    <s v="Sufficient"/>
    <s v="Available"/>
  </r>
  <r>
    <s v="29-017-6255"/>
    <x v="53"/>
    <s v="Fruits &amp; Vegetables"/>
    <s v="Eimbee"/>
    <x v="29"/>
    <n v="64"/>
    <n v="17"/>
    <n v="4.5999999999999996"/>
    <d v="2025-01-06T00:00:00"/>
    <s v="20 Pennsylvania Parkway"/>
    <x v="40"/>
    <s v="Pending"/>
    <n v="5"/>
    <n v="55"/>
    <s v="Reoeder required"/>
    <s v="Available"/>
  </r>
  <r>
    <s v="92-291-7089"/>
    <x v="62"/>
    <s v="Dairy"/>
    <s v="Jaxspan"/>
    <x v="77"/>
    <n v="15"/>
    <n v="99"/>
    <n v="9.5"/>
    <d v="2024-07-26T00:00:00"/>
    <s v="9307 Kingsford Road"/>
    <x v="30"/>
    <s v="Fulfilled"/>
    <n v="6"/>
    <n v="49"/>
    <s v="Sufficient"/>
    <s v="Available"/>
  </r>
  <r>
    <s v="69-287-9113"/>
    <x v="32"/>
    <s v="Fruits &amp; Vegetables"/>
    <s v="Jaxspan"/>
    <x v="43"/>
    <n v="91"/>
    <n v="24"/>
    <n v="2.5"/>
    <d v="2024-06-29T00:00:00"/>
    <s v="11 Golden Leaf Alley"/>
    <x v="46"/>
    <s v="Fulfilled"/>
    <n v="6"/>
    <n v="87"/>
    <s v="Reoeder required"/>
    <s v="Available"/>
  </r>
  <r>
    <s v="76-540-6407"/>
    <x v="41"/>
    <s v="Fruits &amp; Vegetables"/>
    <s v="Demimbu"/>
    <x v="40"/>
    <n v="54"/>
    <n v="73"/>
    <n v="3.1"/>
    <d v="2025-01-17T00:00:00"/>
    <s v="77 Prairie Rose Park"/>
    <x v="33"/>
    <s v="Fulfilled"/>
    <n v="7"/>
    <n v="1"/>
    <s v="Sufficient"/>
    <s v="Available"/>
  </r>
  <r>
    <s v="85-561-4694"/>
    <x v="39"/>
    <s v="Fruits &amp; Vegetables"/>
    <s v="Tazz"/>
    <x v="44"/>
    <n v="27"/>
    <n v="22"/>
    <n v="6"/>
    <d v="2024-08-15T00:00:00"/>
    <s v="1 Lake View Trail"/>
    <x v="73"/>
    <s v="Pending"/>
    <n v="2"/>
    <n v="30"/>
    <s v="Sufficient"/>
    <s v="Available"/>
  </r>
  <r>
    <s v="34-928-2775"/>
    <x v="72"/>
    <s v="Fruits &amp; Vegetables"/>
    <s v="Browseblab"/>
    <x v="26"/>
    <n v="47"/>
    <n v="25"/>
    <n v="5"/>
    <d v="2025-02-24T00:00:00"/>
    <s v="7945 Mayer Center"/>
    <x v="40"/>
    <s v="Pending"/>
    <n v="2"/>
    <n v="37"/>
    <s v="Reoeder required"/>
    <s v="Available"/>
  </r>
  <r>
    <s v="90-773-9557"/>
    <x v="37"/>
    <s v="Dairy"/>
    <s v="Npath"/>
    <x v="42"/>
    <n v="28"/>
    <n v="21"/>
    <n v="3"/>
    <d v="2024-06-30T00:00:00"/>
    <s v="904 Del Mar Crossing"/>
    <x v="78"/>
    <s v="Fulfilled"/>
    <n v="1"/>
    <n v="89"/>
    <s v="Sufficient"/>
    <s v="Available"/>
  </r>
  <r>
    <s v="57-394-1587"/>
    <x v="14"/>
    <s v="Grains &amp; Pulses"/>
    <s v="Roomm"/>
    <x v="63"/>
    <n v="63"/>
    <n v="41"/>
    <n v="1.5"/>
    <d v="2025-02-17T00:00:00"/>
    <s v="561 Blue Bill Park Road"/>
    <x v="59"/>
    <s v="Fulfilled"/>
    <n v="8"/>
    <n v="94"/>
    <s v="Reoeder required"/>
    <s v="Available"/>
  </r>
  <r>
    <s v="28-008-2951"/>
    <x v="50"/>
    <s v="Fruits &amp; Vegetables"/>
    <s v="Buzzster"/>
    <x v="12"/>
    <n v="29"/>
    <n v="28"/>
    <n v="4"/>
    <d v="2025-01-16T00:00:00"/>
    <s v="26 Barnett Junction"/>
    <x v="20"/>
    <s v="Fulfilled"/>
    <n v="4"/>
    <n v="46"/>
    <s v="Sufficient"/>
    <s v="Available"/>
  </r>
  <r>
    <s v="74-711-7160"/>
    <x v="0"/>
    <s v="Grains &amp; Pulses"/>
    <s v="Meembee"/>
    <x v="36"/>
    <n v="69"/>
    <n v="77"/>
    <n v="4.5"/>
    <d v="2024-12-28T00:00:00"/>
    <s v="44296 Kropf Avenue"/>
    <x v="34"/>
    <s v="Fulfilled"/>
    <n v="7"/>
    <n v="69"/>
    <s v="Sufficient"/>
    <s v="Available"/>
  </r>
  <r>
    <s v="22-895-6595"/>
    <x v="66"/>
    <s v="Grains &amp; Pulses"/>
    <s v="Topicblab"/>
    <x v="22"/>
    <n v="32"/>
    <n v="69"/>
    <n v="2"/>
    <d v="2024-06-04T00:00:00"/>
    <s v="34642 Carpenter Place"/>
    <x v="39"/>
    <s v="Pending"/>
    <n v="6"/>
    <n v="23"/>
    <s v="Reoeder required"/>
    <s v="Available"/>
  </r>
  <r>
    <s v="19-214-5762"/>
    <x v="25"/>
    <s v="Fruits &amp; Vegetables"/>
    <s v="Gigashots"/>
    <x v="41"/>
    <n v="52"/>
    <n v="75"/>
    <n v="4.5"/>
    <d v="2024-04-24T00:00:00"/>
    <s v="7 Bonner Terrace"/>
    <x v="42"/>
    <s v="Pending"/>
    <n v="6"/>
    <n v="62"/>
    <s v="Reoeder required"/>
    <s v="Available"/>
  </r>
  <r>
    <s v="95-349-0828"/>
    <x v="13"/>
    <s v="Dairy"/>
    <s v="Avaveo"/>
    <x v="23"/>
    <n v="57"/>
    <n v="84"/>
    <n v="7"/>
    <d v="2024-08-29T00:00:00"/>
    <s v="60 Towne Hill"/>
    <x v="3"/>
    <s v="Fulfilled"/>
    <n v="5"/>
    <n v="28"/>
    <s v="Sufficient"/>
    <s v="Available"/>
  </r>
  <r>
    <s v="00-963-2193"/>
    <x v="102"/>
    <s v="Dairy"/>
    <s v="Thoughtsphere"/>
    <x v="9"/>
    <n v="88"/>
    <n v="33"/>
    <n v="1"/>
    <d v="2025-02-03T00:00:00"/>
    <s v="5030 Moose Junction"/>
    <x v="45"/>
    <s v="Pending"/>
    <n v="5"/>
    <n v="75"/>
    <s v="Reoeder required"/>
    <s v="Available"/>
  </r>
  <r>
    <s v="76-459-2392"/>
    <x v="63"/>
    <s v="Oils &amp; Fats"/>
    <s v="Fivebridge"/>
    <x v="59"/>
    <n v="4"/>
    <n v="67"/>
    <n v="1.8"/>
    <d v="2024-04-13T00:00:00"/>
    <s v="2005 Mccormick Road"/>
    <x v="2"/>
    <s v="Fulfilled"/>
    <n v="2"/>
    <n v="34"/>
    <s v="Sufficient"/>
    <s v="Available"/>
  </r>
  <r>
    <s v="10-034-7654"/>
    <x v="14"/>
    <s v="Grains &amp; Pulses"/>
    <s v="Zava"/>
    <x v="67"/>
    <n v="96"/>
    <n v="92"/>
    <n v="1.5"/>
    <d v="2024-10-25T00:00:00"/>
    <s v="21 Esker Way"/>
    <x v="9"/>
    <s v="Fulfilled"/>
    <n v="3"/>
    <n v="58"/>
    <s v="Reoeder required"/>
    <s v="Available"/>
  </r>
  <r>
    <s v="24-972-6969"/>
    <x v="62"/>
    <s v="Dairy"/>
    <s v="Twitterbeat"/>
    <x v="79"/>
    <n v="53"/>
    <n v="32"/>
    <n v="9.1999999999999993"/>
    <d v="2024-05-28T00:00:00"/>
    <s v="5862 Hooker Pass"/>
    <x v="64"/>
    <s v="Fulfilled"/>
    <n v="2"/>
    <n v="56"/>
    <s v="Sufficient"/>
    <s v="Available"/>
  </r>
  <r>
    <s v="94-190-5193"/>
    <x v="45"/>
    <s v="Fruits &amp; Vegetables"/>
    <s v="Quinu"/>
    <x v="38"/>
    <n v="68"/>
    <n v="50"/>
    <n v="1.5"/>
    <d v="2024-11-21T00:00:00"/>
    <s v="24385 Prentice Plaza"/>
    <x v="6"/>
    <s v="Fulfilled"/>
    <n v="2"/>
    <n v="82"/>
    <s v="Reoeder required"/>
    <s v="Available"/>
  </r>
  <r>
    <s v="92-791-0606"/>
    <x v="33"/>
    <s v="Grains &amp; Pulses"/>
    <s v="Photobean"/>
    <x v="27"/>
    <n v="62"/>
    <n v="2"/>
    <n v="3"/>
    <d v="2024-04-28T00:00:00"/>
    <s v="739 Grayhawk Trail"/>
    <x v="26"/>
    <s v="Pending"/>
    <n v="3"/>
    <n v="78"/>
    <s v="Reoeder required"/>
    <s v="Available"/>
  </r>
  <r>
    <s v="84-629-1532"/>
    <x v="1"/>
    <s v="Beverages"/>
    <s v="Chatterpoint"/>
    <x v="0"/>
    <n v="89"/>
    <n v="25"/>
    <n v="21"/>
    <d v="2024-11-27T00:00:00"/>
    <s v="7 Sloan Park"/>
    <x v="43"/>
    <s v="Pending"/>
    <n v="5"/>
    <n v="62"/>
    <s v="Reoeder required"/>
    <s v="Available"/>
  </r>
  <r>
    <s v="68-977-2498"/>
    <x v="103"/>
    <s v="Fruits &amp; Vegetables"/>
    <s v="Skinix"/>
    <x v="20"/>
    <n v="99"/>
    <n v="41"/>
    <n v="5.5"/>
    <d v="2024-05-20T00:00:00"/>
    <s v="6482 Ramsey Alley"/>
    <x v="47"/>
    <s v="Pending"/>
    <n v="8"/>
    <n v="99"/>
    <s v="Reoeder required"/>
    <s v="Available"/>
  </r>
  <r>
    <s v="91-257-3672"/>
    <x v="70"/>
    <s v="Seafood"/>
    <s v="InnoZ"/>
    <x v="87"/>
    <n v="75"/>
    <n v="3"/>
    <n v="7"/>
    <d v="2024-12-18T00:00:00"/>
    <s v="10997 Dexter Parkway"/>
    <x v="13"/>
    <s v="Fulfilled"/>
    <n v="2"/>
    <n v="100"/>
    <s v="Sufficient"/>
    <s v="Available"/>
  </r>
  <r>
    <s v="09-536-2626"/>
    <x v="28"/>
    <s v="Oils &amp; Fats"/>
    <s v="Fliptune"/>
    <x v="88"/>
    <n v="52"/>
    <n v="32"/>
    <n v="6"/>
    <d v="2024-08-26T00:00:00"/>
    <s v="205 Straubel Court"/>
    <x v="11"/>
    <s v="Fulfilled"/>
    <n v="7"/>
    <n v="7"/>
    <s v="Sufficient"/>
    <s v="Available"/>
  </r>
  <r>
    <s v="61-801-8665"/>
    <x v="93"/>
    <s v="Beverages"/>
    <s v="Demivee"/>
    <x v="83"/>
    <n v="88"/>
    <n v="17"/>
    <n v="10.5"/>
    <d v="2024-12-06T00:00:00"/>
    <s v="58 La Follette Park"/>
    <x v="5"/>
    <s v="Fulfilled"/>
    <n v="3"/>
    <n v="51"/>
    <s v="Reoeder required"/>
    <s v="Available"/>
  </r>
  <r>
    <s v="38-296-6634"/>
    <x v="57"/>
    <s v="Fruits &amp; Vegetables"/>
    <s v="Skipfire"/>
    <x v="16"/>
    <n v="46"/>
    <n v="8"/>
    <n v="3"/>
    <d v="2024-03-31T00:00:00"/>
    <s v="160 Kings Street"/>
    <x v="19"/>
    <s v="Pending"/>
    <n v="2"/>
    <n v="21"/>
    <s v="Sufficient"/>
    <s v="Available"/>
  </r>
  <r>
    <s v="30-591-7275"/>
    <x v="104"/>
    <s v="Grains &amp; Pulses"/>
    <s v="Oyondu"/>
    <x v="85"/>
    <n v="88"/>
    <n v="41"/>
    <n v="2.5"/>
    <d v="2025-02-19T00:00:00"/>
    <s v="7020 Porter Trail"/>
    <x v="78"/>
    <s v="Pending"/>
    <n v="2"/>
    <n v="29"/>
    <s v="Reoeder required"/>
    <s v="Available"/>
  </r>
  <r>
    <s v="83-763-5038"/>
    <x v="83"/>
    <s v="Dairy"/>
    <s v="Jatri"/>
    <x v="60"/>
    <n v="64"/>
    <n v="54"/>
    <n v="2.4"/>
    <d v="2024-09-09T00:00:00"/>
    <s v="5 Armistice Parkway"/>
    <x v="7"/>
    <s v="Fulfilled"/>
    <n v="4"/>
    <n v="55"/>
    <s v="Reoeder required"/>
    <s v="Available"/>
  </r>
  <r>
    <s v="37-709-3532"/>
    <x v="23"/>
    <s v="Fruits &amp; Vegetables"/>
    <s v="Demivee"/>
    <x v="70"/>
    <n v="45"/>
    <n v="39"/>
    <n v="6"/>
    <d v="2024-11-07T00:00:00"/>
    <s v="524 Saint Paul Park"/>
    <x v="79"/>
    <s v="Fulfilled"/>
    <n v="1"/>
    <n v="20"/>
    <s v="Sufficient"/>
    <s v="Available"/>
  </r>
  <r>
    <s v="62-795-7801"/>
    <x v="63"/>
    <s v="Oils &amp; Fats"/>
    <s v="Buzzshare"/>
    <x v="51"/>
    <n v="41"/>
    <n v="84"/>
    <n v="1.8"/>
    <d v="2024-07-28T00:00:00"/>
    <s v="94451 Arkansas Park"/>
    <x v="4"/>
    <s v="Pending"/>
    <n v="1"/>
    <n v="14"/>
    <s v="Reoeder required"/>
    <s v="Available"/>
  </r>
  <r>
    <s v="98-575-4736"/>
    <x v="26"/>
    <s v="Fruits &amp; Vegetables"/>
    <s v="Flashset"/>
    <x v="77"/>
    <n v="11"/>
    <n v="15"/>
    <n v="1.8"/>
    <d v="2024-05-25T00:00:00"/>
    <s v="83 Pleasure Street"/>
    <x v="70"/>
    <s v="Fulfilled"/>
    <n v="4"/>
    <n v="91"/>
    <s v="Sufficient"/>
    <s v="Available"/>
  </r>
  <r>
    <s v="57-861-4379"/>
    <x v="15"/>
    <s v="Dairy"/>
    <s v="Feedmix"/>
    <x v="81"/>
    <n v="8"/>
    <n v="51"/>
    <n v="8"/>
    <d v="2024-05-15T00:00:00"/>
    <s v="64407 Marcy Plaza"/>
    <x v="47"/>
    <s v="Fulfilled"/>
    <n v="3"/>
    <n v="85"/>
    <s v="Sufficient"/>
    <s v="Available"/>
  </r>
  <r>
    <s v="00-119-8780"/>
    <x v="105"/>
    <s v="Seafood"/>
    <s v="Jaxspan"/>
    <x v="69"/>
    <n v="81"/>
    <n v="78"/>
    <n v="20"/>
    <d v="2024-07-16T00:00:00"/>
    <s v="21 Sunbrook Court"/>
    <x v="34"/>
    <s v="Fulfilled"/>
    <n v="7"/>
    <n v="65"/>
    <s v="Reoeder required"/>
    <s v="Available"/>
  </r>
  <r>
    <s v="28-824-9017"/>
    <x v="17"/>
    <s v="Seafood"/>
    <s v="Flipbug"/>
    <x v="26"/>
    <n v="94"/>
    <n v="17"/>
    <n v="11.5"/>
    <d v="2024-06-08T00:00:00"/>
    <s v="4 Jay Terrace"/>
    <x v="40"/>
    <s v="Pending"/>
    <n v="1"/>
    <n v="74"/>
    <s v="Reoeder required"/>
    <s v="Available"/>
  </r>
  <r>
    <s v="56-668-5370"/>
    <x v="87"/>
    <s v="Oils &amp; Fats"/>
    <s v="Vimbo"/>
    <x v="67"/>
    <n v="96"/>
    <n v="21"/>
    <n v="2"/>
    <d v="2024-09-10T00:00:00"/>
    <s v="05686 Golden Leaf Point"/>
    <x v="10"/>
    <s v="Pending"/>
    <n v="6"/>
    <n v="15"/>
    <s v="Reoeder required"/>
    <s v="Available"/>
  </r>
  <r>
    <s v="29-756-7042"/>
    <x v="99"/>
    <s v="Bakery"/>
    <s v="Dabvine"/>
    <x v="82"/>
    <n v="52"/>
    <n v="50"/>
    <n v="4"/>
    <d v="2024-04-15T00:00:00"/>
    <s v="99 Fair Oaks Circle"/>
    <x v="13"/>
    <s v="Fulfilled"/>
    <n v="2"/>
    <n v="14"/>
    <s v="Sufficient"/>
    <s v="Available"/>
  </r>
  <r>
    <s v="41-538-3129"/>
    <x v="99"/>
    <s v="Bakery"/>
    <s v="Devshare"/>
    <x v="25"/>
    <n v="79"/>
    <n v="65"/>
    <n v="4"/>
    <d v="2024-03-17T00:00:00"/>
    <s v="2 Carioca Crossing"/>
    <x v="4"/>
    <s v="Fulfilled"/>
    <n v="6"/>
    <n v="75"/>
    <s v="Reoeder required"/>
    <s v="Available"/>
  </r>
  <r>
    <s v="16-380-0753"/>
    <x v="106"/>
    <s v="Fruits &amp; Vegetables"/>
    <s v="Quinu"/>
    <x v="54"/>
    <n v="22"/>
    <n v="71"/>
    <n v="5"/>
    <d v="2024-05-16T00:00:00"/>
    <s v="701 Logan Court"/>
    <x v="55"/>
    <s v="Fulfilled"/>
    <n v="5"/>
    <n v="62"/>
    <s v="Sufficient"/>
    <s v="Available"/>
  </r>
  <r>
    <s v="26-535-4727"/>
    <x v="70"/>
    <s v="Seafood"/>
    <s v="Jamia"/>
    <x v="81"/>
    <n v="25"/>
    <n v="23"/>
    <n v="7"/>
    <d v="2024-08-17T00:00:00"/>
    <s v="4 Darwin Circle"/>
    <x v="53"/>
    <s v="Fulfilled"/>
    <n v="7"/>
    <n v="83"/>
    <s v="Sufficient"/>
    <s v="Available"/>
  </r>
  <r>
    <s v="59-857-6577"/>
    <x v="107"/>
    <s v="Dairy"/>
    <s v="Blognation"/>
    <x v="65"/>
    <n v="100"/>
    <n v="77"/>
    <n v="2"/>
    <d v="2024-08-10T00:00:00"/>
    <s v="230 Tony Court"/>
    <x v="13"/>
    <s v="Pending"/>
    <n v="5"/>
    <n v="26"/>
    <s v="Reoeder required"/>
    <s v="Available"/>
  </r>
  <r>
    <s v="14-550-2152"/>
    <x v="85"/>
    <s v="Beverages"/>
    <s v="Livepath"/>
    <x v="37"/>
    <n v="1"/>
    <n v="61"/>
    <n v="7.6"/>
    <d v="2024-06-18T00:00:00"/>
    <s v="3 Forster Point"/>
    <x v="40"/>
    <s v="Pending"/>
    <n v="7"/>
    <n v="26"/>
    <s v="Sufficient"/>
    <s v="Available"/>
  </r>
  <r>
    <s v="39-315-3936"/>
    <x v="52"/>
    <s v="Dairy"/>
    <s v="Yata"/>
    <x v="63"/>
    <n v="62"/>
    <n v="72"/>
    <n v="4"/>
    <d v="2024-09-25T00:00:00"/>
    <s v="850 Glacier Hill Drive"/>
    <x v="61"/>
    <s v="Fulfilled"/>
    <n v="3"/>
    <n v="4"/>
    <s v="Reoeder required"/>
    <s v="Available"/>
  </r>
  <r>
    <s v="87-199-2743"/>
    <x v="108"/>
    <s v="Fruits &amp; Vegetables"/>
    <s v="Demivee"/>
    <x v="43"/>
    <n v="74"/>
    <n v="100"/>
    <n v="4.5"/>
    <d v="2024-09-15T00:00:00"/>
    <s v="38695 Kenwood Circle"/>
    <x v="13"/>
    <s v="Pending"/>
    <n v="2"/>
    <n v="69"/>
    <s v="Reoeder required"/>
    <s v="Available"/>
  </r>
  <r>
    <s v="60-771-0879"/>
    <x v="60"/>
    <s v="Fruits &amp; Vegetables"/>
    <s v="Kayveo"/>
    <x v="52"/>
    <n v="15"/>
    <n v="22"/>
    <n v="10"/>
    <d v="2025-02-11T00:00:00"/>
    <s v="9 Karstens Center"/>
    <x v="33"/>
    <s v="Fulfilled"/>
    <n v="4"/>
    <n v="42"/>
    <s v="Sufficient"/>
    <s v="Available"/>
  </r>
  <r>
    <s v="00-440-9568"/>
    <x v="60"/>
    <s v="Fruits &amp; Vegetables"/>
    <s v="Kamba"/>
    <x v="58"/>
    <n v="98"/>
    <n v="25"/>
    <n v="10"/>
    <d v="2024-09-04T00:00:00"/>
    <s v="052 Northland Trail"/>
    <x v="79"/>
    <s v="Pending"/>
    <n v="4"/>
    <n v="51"/>
    <s v="Reoeder required"/>
    <s v="Available"/>
  </r>
  <r>
    <s v="07-074-1196"/>
    <x v="4"/>
    <s v="Fruits &amp; Vegetables"/>
    <s v="Skajo"/>
    <x v="73"/>
    <n v="56"/>
    <n v="62"/>
    <n v="3.9"/>
    <d v="2025-01-10T00:00:00"/>
    <s v="27 New Castle Avenue"/>
    <x v="35"/>
    <s v="Pending"/>
    <n v="5"/>
    <n v="5"/>
    <s v="Reoeder required"/>
    <s v="Available"/>
  </r>
  <r>
    <s v="69-674-5387"/>
    <x v="109"/>
    <s v="Dairy"/>
    <s v="Miboo"/>
    <x v="43"/>
    <n v="27"/>
    <n v="63"/>
    <n v="1.75"/>
    <d v="2024-06-27T00:00:00"/>
    <s v="6211 Hanson Terrace"/>
    <x v="57"/>
    <s v="Pending"/>
    <n v="6"/>
    <n v="82"/>
    <s v="Sufficient"/>
    <s v="Available"/>
  </r>
  <r>
    <s v="08-940-8578"/>
    <x v="31"/>
    <s v="Fruits &amp; Vegetables"/>
    <s v="Oba"/>
    <x v="68"/>
    <n v="29"/>
    <n v="65"/>
    <n v="2"/>
    <d v="2024-10-04T00:00:00"/>
    <s v="74 Menomonie Point"/>
    <x v="54"/>
    <s v="Pending"/>
    <n v="8"/>
    <n v="23"/>
    <s v="Sufficient"/>
    <s v="Available"/>
  </r>
  <r>
    <s v="94-020-6982"/>
    <x v="82"/>
    <s v="Seafood"/>
    <s v="Thoughtstorm"/>
    <x v="71"/>
    <n v="75"/>
    <n v="27"/>
    <n v="18"/>
    <d v="2024-10-05T00:00:00"/>
    <s v="381 Rutledge Place"/>
    <x v="2"/>
    <s v="Pending"/>
    <n v="8"/>
    <n v="36"/>
    <s v="Reoeder required"/>
    <s v="Available"/>
  </r>
  <r>
    <s v="42-879-9478"/>
    <x v="95"/>
    <s v="Seafood"/>
    <s v="Zoonder"/>
    <x v="19"/>
    <n v="22"/>
    <n v="20"/>
    <n v="10"/>
    <d v="2025-02-23T00:00:00"/>
    <s v="86 Porter Junction"/>
    <x v="3"/>
    <s v="Pending"/>
    <n v="3"/>
    <n v="77"/>
    <s v="Sufficient"/>
    <s v="Available"/>
  </r>
  <r>
    <s v="00-405-7428"/>
    <x v="110"/>
    <s v="Fruits &amp; Vegetables"/>
    <s v="Zava"/>
    <x v="19"/>
    <n v="74"/>
    <n v="45"/>
    <n v="3.5"/>
    <d v="2025-01-27T00:00:00"/>
    <s v="42 Mallory Court"/>
    <x v="27"/>
    <s v="Fulfilled"/>
    <n v="1"/>
    <n v="23"/>
    <s v="Sufficient"/>
    <s v="Available"/>
  </r>
  <r>
    <s v="87-997-0228"/>
    <x v="94"/>
    <s v="Fruits &amp; Vegetables"/>
    <s v="Topicblab"/>
    <x v="86"/>
    <n v="4"/>
    <n v="37"/>
    <n v="3"/>
    <d v="2024-10-24T00:00:00"/>
    <s v="26240 Maple Wood Place"/>
    <x v="68"/>
    <s v="Pending"/>
    <n v="7"/>
    <n v="25"/>
    <s v="Sufficient"/>
    <s v="Available"/>
  </r>
  <r>
    <s v="05-498-7751"/>
    <x v="78"/>
    <s v="Fruits &amp; Vegetables"/>
    <s v="Abata"/>
    <x v="60"/>
    <n v="22"/>
    <n v="37"/>
    <n v="2.5"/>
    <d v="2024-07-10T00:00:00"/>
    <s v="30408 5th Way"/>
    <x v="8"/>
    <s v="Pending"/>
    <n v="5"/>
    <n v="44"/>
    <s v="Sufficient"/>
    <s v="Available"/>
  </r>
  <r>
    <s v="55-631-7937"/>
    <x v="8"/>
    <s v="Dairy"/>
    <s v="Avamba"/>
    <x v="11"/>
    <n v="54"/>
    <n v="90"/>
    <n v="3"/>
    <d v="2024-06-19T00:00:00"/>
    <s v="82 Drewry Junction"/>
    <x v="28"/>
    <s v="Fulfilled"/>
    <n v="4"/>
    <n v="81"/>
    <s v="Reoeder required"/>
    <s v="Available"/>
  </r>
  <r>
    <s v="27-389-3529"/>
    <x v="30"/>
    <s v="Seafood"/>
    <s v="Feedfish"/>
    <x v="36"/>
    <n v="8"/>
    <n v="54"/>
    <n v="9"/>
    <d v="2024-04-23T00:00:00"/>
    <s v="234 Eagle Crest Avenue"/>
    <x v="30"/>
    <s v="Fulfilled"/>
    <n v="6"/>
    <n v="38"/>
    <s v="Sufficient"/>
    <s v="Available"/>
  </r>
  <r>
    <s v="84-272-0790"/>
    <x v="60"/>
    <s v="Fruits &amp; Vegetables"/>
    <s v="Eidel"/>
    <x v="44"/>
    <n v="86"/>
    <n v="44"/>
    <n v="10"/>
    <d v="2024-11-18T00:00:00"/>
    <s v="53 Caliangt Junction"/>
    <x v="67"/>
    <s v="Pending"/>
    <n v="7"/>
    <n v="12"/>
    <s v="Reoeder required"/>
    <s v="Available"/>
  </r>
  <r>
    <s v="01-903-5373"/>
    <x v="12"/>
    <s v="Fruits &amp; Vegetables"/>
    <s v="Lazz"/>
    <x v="14"/>
    <n v="77"/>
    <n v="89"/>
    <n v="6"/>
    <d v="2024-06-20T00:00:00"/>
    <s v="32525 Marquette Park"/>
    <x v="35"/>
    <s v="Fulfilled"/>
    <n v="4"/>
    <n v="84"/>
    <s v="Sufficient"/>
    <s v="Available"/>
  </r>
  <r>
    <s v="49-311-3063"/>
    <x v="39"/>
    <s v="Fruits &amp; Vegetables"/>
    <s v="Talane"/>
    <x v="28"/>
    <n v="75"/>
    <n v="53"/>
    <n v="6"/>
    <d v="2024-10-03T00:00:00"/>
    <s v="71 Bultman Drive"/>
    <x v="73"/>
    <s v="Pending"/>
    <n v="1"/>
    <n v="20"/>
    <s v="Reoeder required"/>
    <s v="Available"/>
  </r>
  <r>
    <s v="04-277-5245"/>
    <x v="111"/>
    <s v="Grains &amp; Pulses"/>
    <s v="Bubblebox"/>
    <x v="53"/>
    <n v="51"/>
    <n v="21"/>
    <n v="5"/>
    <d v="2024-07-28T00:00:00"/>
    <s v="911 Ridgeway Way"/>
    <x v="75"/>
    <s v="Pending"/>
    <n v="8"/>
    <n v="26"/>
    <s v="Reoeder required"/>
    <s v="Available"/>
  </r>
  <r>
    <s v="04-453-5485"/>
    <x v="112"/>
    <s v="Fruits &amp; Vegetables"/>
    <s v="Quatz"/>
    <x v="36"/>
    <n v="20"/>
    <n v="58"/>
    <n v="2.5"/>
    <d v="2025-01-10T00:00:00"/>
    <s v="2 Sunbrook Lane"/>
    <x v="52"/>
    <s v="Pending"/>
    <n v="6"/>
    <n v="64"/>
    <s v="Sufficient"/>
    <s v="Available"/>
  </r>
  <r>
    <s v="42-141-5718"/>
    <x v="62"/>
    <s v="Dairy"/>
    <s v="Mydeo"/>
    <x v="46"/>
    <n v="31"/>
    <n v="43"/>
    <n v="9"/>
    <d v="2025-01-06T00:00:00"/>
    <s v="1700 Briar Crest Parkway"/>
    <x v="74"/>
    <s v="Fulfilled"/>
    <n v="7"/>
    <n v="52"/>
    <s v="Sufficient"/>
    <s v="Available"/>
  </r>
  <r>
    <s v="89-602-6755"/>
    <x v="102"/>
    <s v="Dairy"/>
    <s v="BlogXS"/>
    <x v="59"/>
    <n v="90"/>
    <n v="26"/>
    <n v="1"/>
    <d v="2025-02-07T00:00:00"/>
    <s v="4 Bashford Court"/>
    <x v="38"/>
    <s v="Fulfilled"/>
    <n v="6"/>
    <n v="11"/>
    <s v="Reoeder required"/>
    <s v="Available"/>
  </r>
  <r>
    <s v="15-045-8444"/>
    <x v="43"/>
    <s v="Beverages"/>
    <s v="Aibox"/>
    <x v="15"/>
    <n v="12"/>
    <n v="93"/>
    <n v="12"/>
    <d v="2024-07-12T00:00:00"/>
    <s v="97 Thierer Terrace"/>
    <x v="74"/>
    <s v="Pending"/>
    <n v="7"/>
    <n v="83"/>
    <s v="Sufficient"/>
    <s v="Available"/>
  </r>
  <r>
    <s v="15-240-6267"/>
    <x v="51"/>
    <s v="Fruits &amp; Vegetables"/>
    <s v="Mybuzz"/>
    <x v="8"/>
    <n v="55"/>
    <n v="94"/>
    <n v="3"/>
    <d v="2024-04-10T00:00:00"/>
    <s v="25784 Old Gate Crossing"/>
    <x v="27"/>
    <s v="Fulfilled"/>
    <n v="4"/>
    <n v="93"/>
    <s v="Sufficient"/>
    <s v="Available"/>
  </r>
  <r>
    <s v="05-193-8096"/>
    <x v="103"/>
    <s v="Fruits &amp; Vegetables"/>
    <s v="Rhynoodle"/>
    <x v="45"/>
    <n v="21"/>
    <n v="85"/>
    <n v="5.5"/>
    <d v="2024-03-19T00:00:00"/>
    <s v="38 Rutledge Plaza"/>
    <x v="34"/>
    <s v="Fulfilled"/>
    <n v="2"/>
    <n v="18"/>
    <s v="Sufficient"/>
    <s v="Available"/>
  </r>
  <r>
    <s v="93-342-8794"/>
    <x v="14"/>
    <s v="Grains &amp; Pulses"/>
    <s v="Realblab"/>
    <x v="36"/>
    <n v="91"/>
    <n v="86"/>
    <n v="1.5"/>
    <d v="2024-12-07T00:00:00"/>
    <s v="39102 Division Trail"/>
    <x v="48"/>
    <s v="Fulfilled"/>
    <n v="8"/>
    <n v="95"/>
    <s v="Reoeder required"/>
    <s v="Available"/>
  </r>
  <r>
    <s v="83-716-2177"/>
    <x v="105"/>
    <s v="Seafood"/>
    <s v="Linktype"/>
    <x v="27"/>
    <n v="46"/>
    <n v="26"/>
    <n v="20"/>
    <d v="2024-10-10T00:00:00"/>
    <s v="26266 Esker Point"/>
    <x v="42"/>
    <s v="Pending"/>
    <n v="8"/>
    <n v="95"/>
    <s v="Reoeder required"/>
    <s v="Available"/>
  </r>
  <r>
    <s v="56-635-6764"/>
    <x v="40"/>
    <s v="Bakery"/>
    <s v="Avamba"/>
    <x v="3"/>
    <n v="59"/>
    <n v="62"/>
    <n v="4.5"/>
    <d v="2025-01-16T00:00:00"/>
    <s v="744 Green Center"/>
    <x v="71"/>
    <s v="Pending"/>
    <n v="3"/>
    <n v="92"/>
    <s v="Reoeder required"/>
    <s v="Available"/>
  </r>
  <r>
    <s v="10-249-7928"/>
    <x v="2"/>
    <s v="Grains &amp; Pulses"/>
    <s v="Voomm"/>
    <x v="42"/>
    <n v="4"/>
    <n v="75"/>
    <n v="6.5"/>
    <d v="2024-04-03T00:00:00"/>
    <s v="57598 Russell Center"/>
    <x v="3"/>
    <s v="Pending"/>
    <n v="6"/>
    <n v="70"/>
    <s v="Sufficient"/>
    <s v="Available"/>
  </r>
  <r>
    <s v="65-759-3721"/>
    <x v="56"/>
    <s v="Bakery"/>
    <s v="Vipe"/>
    <x v="64"/>
    <n v="60"/>
    <n v="67"/>
    <n v="6"/>
    <d v="2024-05-24T00:00:00"/>
    <s v="315 Acker Alley"/>
    <x v="14"/>
    <s v="Fulfilled"/>
    <n v="5"/>
    <n v="7"/>
    <s v="Reoeder required"/>
    <s v="Available"/>
  </r>
  <r>
    <s v="08-725-8156"/>
    <x v="70"/>
    <s v="Seafood"/>
    <s v="Flipopia"/>
    <x v="43"/>
    <n v="59"/>
    <n v="10"/>
    <n v="7"/>
    <d v="2024-11-10T00:00:00"/>
    <s v="73397 Steensland Circle"/>
    <x v="42"/>
    <s v="Fulfilled"/>
    <n v="4"/>
    <n v="50"/>
    <s v="Reoeder required"/>
    <s v="Available"/>
  </r>
  <r>
    <s v="15-679-3935"/>
    <x v="103"/>
    <s v="Fruits &amp; Vegetables"/>
    <s v="Jabbersphere"/>
    <x v="0"/>
    <n v="69"/>
    <n v="87"/>
    <n v="5.5"/>
    <d v="2024-06-15T00:00:00"/>
    <s v="95 Garrison Plaza"/>
    <x v="5"/>
    <s v="Pending"/>
    <n v="1"/>
    <n v="26"/>
    <s v="Reoeder required"/>
    <s v="Available"/>
  </r>
  <r>
    <s v="81-578-7404"/>
    <x v="81"/>
    <s v="Dairy"/>
    <s v="Rhyloo"/>
    <x v="38"/>
    <n v="79"/>
    <n v="98"/>
    <n v="7"/>
    <d v="2024-08-11T00:00:00"/>
    <s v="5989 Longview Drive"/>
    <x v="21"/>
    <s v="Pending"/>
    <n v="4"/>
    <n v="36"/>
    <s v="Reoeder required"/>
    <s v="Available"/>
  </r>
  <r>
    <s v="82-380-5378"/>
    <x v="62"/>
    <s v="Dairy"/>
    <s v="Oozz"/>
    <x v="87"/>
    <n v="24"/>
    <n v="31"/>
    <n v="9"/>
    <d v="2024-06-03T00:00:00"/>
    <s v="05518 Saint Paul Street"/>
    <x v="30"/>
    <s v="Fulfilled"/>
    <n v="3"/>
    <n v="41"/>
    <s v="Sufficient"/>
    <s v="Available"/>
  </r>
  <r>
    <s v="78-362-8578"/>
    <x v="35"/>
    <s v="Fruits &amp; Vegetables"/>
    <s v="Vimbo"/>
    <x v="18"/>
    <n v="32"/>
    <n v="80"/>
    <n v="2.4500000000000002"/>
    <d v="2024-11-17T00:00:00"/>
    <s v="86 Corben Crossing"/>
    <x v="28"/>
    <s v="Fulfilled"/>
    <n v="6"/>
    <n v="9"/>
    <s v="Sufficient"/>
    <s v="Available"/>
  </r>
  <r>
    <s v="32-261-0008"/>
    <x v="52"/>
    <s v="Dairy"/>
    <s v="Oyoyo"/>
    <x v="21"/>
    <n v="48"/>
    <n v="22"/>
    <n v="4"/>
    <d v="2025-02-18T00:00:00"/>
    <s v="2 Kingsford Center"/>
    <x v="7"/>
    <s v="Fulfilled"/>
    <n v="5"/>
    <n v="90"/>
    <s v="Sufficient"/>
    <s v="Available"/>
  </r>
  <r>
    <s v="74-943-9034"/>
    <x v="42"/>
    <s v="Bakery"/>
    <s v="Tagfeed"/>
    <x v="2"/>
    <n v="91"/>
    <n v="34"/>
    <n v="2.5"/>
    <d v="2024-11-18T00:00:00"/>
    <s v="0 Saint Paul Center"/>
    <x v="23"/>
    <s v="Pending"/>
    <n v="4"/>
    <n v="88"/>
    <s v="Reoeder required"/>
    <s v="Available"/>
  </r>
  <r>
    <s v="86-330-0214"/>
    <x v="1"/>
    <s v="Beverages"/>
    <s v="Jayo"/>
    <x v="80"/>
    <n v="64"/>
    <n v="63"/>
    <n v="20"/>
    <d v="2025-02-18T00:00:00"/>
    <s v="5818 Twin Pines Place"/>
    <x v="56"/>
    <s v="Pending"/>
    <n v="4"/>
    <n v="35"/>
    <s v="Reoeder required"/>
    <s v="Available"/>
  </r>
  <r>
    <s v="80-334-0215"/>
    <x v="103"/>
    <s v="Fruits &amp; Vegetables"/>
    <s v="Camimbo"/>
    <x v="20"/>
    <n v="27"/>
    <n v="92"/>
    <n v="5.5"/>
    <d v="2024-04-30T00:00:00"/>
    <s v="611 Waubesa Circle"/>
    <x v="42"/>
    <s v="Fulfilled"/>
    <n v="3"/>
    <n v="37"/>
    <s v="Sufficient"/>
    <s v="Available"/>
  </r>
  <r>
    <s v="48-957-8596"/>
    <x v="74"/>
    <s v="Fruits &amp; Vegetables"/>
    <s v="Youfeed"/>
    <x v="12"/>
    <n v="25"/>
    <n v="91"/>
    <n v="53.82"/>
    <d v="2024-04-24T00:00:00"/>
    <s v="3825 Raven Avenue"/>
    <x v="80"/>
    <s v="Fulfilled"/>
    <n v="8"/>
    <n v="5"/>
    <s v="Sufficient"/>
    <s v="Available"/>
  </r>
  <r>
    <s v="37-246-0018"/>
    <x v="50"/>
    <s v="Fruits &amp; Vegetables"/>
    <s v="Skilith"/>
    <x v="2"/>
    <n v="59"/>
    <n v="76"/>
    <n v="4"/>
    <d v="2025-01-14T00:00:00"/>
    <s v="52 Alpine Crossing"/>
    <x v="26"/>
    <s v="Pending"/>
    <n v="8"/>
    <n v="3"/>
    <s v="Reoeder required"/>
    <s v="Available"/>
  </r>
  <r>
    <s v="17-002-4721"/>
    <x v="18"/>
    <s v="Fruits &amp; Vegetables"/>
    <s v="Omba"/>
    <x v="22"/>
    <n v="55"/>
    <n v="5"/>
    <n v="2"/>
    <d v="2025-02-18T00:00:00"/>
    <s v="379 Duke Court"/>
    <x v="75"/>
    <s v="Pending"/>
    <n v="8"/>
    <n v="46"/>
    <s v="Reoeder required"/>
    <s v="Available"/>
  </r>
  <r>
    <s v="47-802-5023"/>
    <x v="73"/>
    <s v="Seafood"/>
    <s v="Buzzster"/>
    <x v="24"/>
    <n v="20"/>
    <n v="45"/>
    <n v="8"/>
    <d v="2024-10-18T00:00:00"/>
    <s v="7096 Mcguire Park"/>
    <x v="68"/>
    <s v="Pending"/>
    <n v="4"/>
    <n v="62"/>
    <s v="Reoeder required"/>
    <s v="Available"/>
  </r>
  <r>
    <s v="22-319-1377"/>
    <x v="10"/>
    <s v="Grains &amp; Pulses"/>
    <s v="Skyba"/>
    <x v="39"/>
    <n v="16"/>
    <n v="93"/>
    <n v="2"/>
    <d v="2024-03-03T00:00:00"/>
    <s v="083 Gulseth Pass"/>
    <x v="34"/>
    <s v="Pending"/>
    <n v="4"/>
    <n v="30"/>
    <s v="Reoeder required"/>
    <s v="Available"/>
  </r>
  <r>
    <s v="57-903-6434"/>
    <x v="112"/>
    <s v="Fruits &amp; Vegetables"/>
    <s v="Shuffledrive"/>
    <x v="7"/>
    <n v="67"/>
    <n v="15"/>
    <n v="2.5"/>
    <d v="2024-03-10T00:00:00"/>
    <s v="34 Linden Court"/>
    <x v="19"/>
    <s v="Pending"/>
    <n v="8"/>
    <n v="51"/>
    <s v="Reoeder required"/>
    <s v="Available"/>
  </r>
  <r>
    <s v="22-083-3347"/>
    <x v="3"/>
    <s v="Grains &amp; Pulses"/>
    <s v="Yodoo"/>
    <x v="79"/>
    <n v="82"/>
    <n v="58"/>
    <n v="1.5"/>
    <d v="2024-04-29T00:00:00"/>
    <s v="38 Superior Road"/>
    <x v="5"/>
    <s v="Fulfilled"/>
    <n v="6"/>
    <n v="22"/>
    <s v="Reoeder required"/>
    <s v="Available"/>
  </r>
  <r>
    <s v="65-145-9672"/>
    <x v="3"/>
    <s v="Grains &amp; Pulses"/>
    <s v="Gigashots"/>
    <x v="86"/>
    <n v="10"/>
    <n v="49"/>
    <n v="1.5"/>
    <d v="2024-03-16T00:00:00"/>
    <s v="8 Dovetail Junction"/>
    <x v="15"/>
    <s v="Fulfilled"/>
    <n v="5"/>
    <n v="43"/>
    <s v="Sufficient"/>
    <s v="Available"/>
  </r>
  <r>
    <s v="95-252-9619"/>
    <x v="45"/>
    <s v="Fruits &amp; Vegetables"/>
    <s v="Skynoodle"/>
    <x v="40"/>
    <n v="39"/>
    <n v="50"/>
    <n v="1.6"/>
    <d v="2024-12-07T00:00:00"/>
    <s v="57453 Northwestern Alley"/>
    <x v="43"/>
    <s v="Fulfilled"/>
    <n v="8"/>
    <n v="41"/>
    <s v="Sufficient"/>
    <s v="Available"/>
  </r>
  <r>
    <s v="74-294-3760"/>
    <x v="59"/>
    <s v="Oils &amp; Fats"/>
    <s v="Babblestorm"/>
    <x v="16"/>
    <n v="17"/>
    <n v="54"/>
    <n v="4"/>
    <d v="2024-11-30T00:00:00"/>
    <s v="0109 Stang Terrace"/>
    <x v="78"/>
    <s v="Fulfilled"/>
    <n v="8"/>
    <n v="96"/>
    <s v="Sufficient"/>
    <s v="Available"/>
  </r>
  <r>
    <s v="06-797-4963"/>
    <x v="75"/>
    <s v="Fruits &amp; Vegetables"/>
    <s v="Innojam"/>
    <x v="60"/>
    <n v="8"/>
    <n v="37"/>
    <n v="6"/>
    <d v="2024-08-15T00:00:00"/>
    <s v="1008 Welch Street"/>
    <x v="39"/>
    <s v="Fulfilled"/>
    <n v="3"/>
    <n v="81"/>
    <s v="Sufficient"/>
    <s v="Available"/>
  </r>
  <r>
    <s v="39-768-8205"/>
    <x v="89"/>
    <s v="Dairy"/>
    <s v="Gigabox"/>
    <x v="61"/>
    <n v="97"/>
    <n v="29"/>
    <n v="2.5"/>
    <d v="2024-07-17T00:00:00"/>
    <s v="32 Rigney Terrace"/>
    <x v="19"/>
    <s v="Pending"/>
    <n v="6"/>
    <n v="100"/>
    <s v="Reoeder required"/>
    <s v="Available"/>
  </r>
  <r>
    <s v="03-043-9933"/>
    <x v="12"/>
    <s v="Fruits &amp; Vegetables"/>
    <s v="Yombu"/>
    <x v="24"/>
    <n v="23"/>
    <n v="76"/>
    <n v="6.1"/>
    <d v="2025-02-09T00:00:00"/>
    <s v="884 Fieldstone Plaza"/>
    <x v="25"/>
    <s v="Pending"/>
    <n v="3"/>
    <n v="27"/>
    <s v="Reoeder required"/>
    <s v="Available"/>
  </r>
  <r>
    <s v="29-823-6004"/>
    <x v="32"/>
    <s v="Fruits &amp; Vegetables"/>
    <s v="Trudeo"/>
    <x v="60"/>
    <n v="79"/>
    <n v="87"/>
    <n v="2.5"/>
    <d v="2024-04-04T00:00:00"/>
    <s v="3 Lawn Park"/>
    <x v="66"/>
    <s v="Fulfilled"/>
    <n v="5"/>
    <n v="100"/>
    <s v="Reoeder required"/>
    <s v="Available"/>
  </r>
  <r>
    <s v="40-462-2952"/>
    <x v="17"/>
    <s v="Seafood"/>
    <s v="Browsezoom"/>
    <x v="8"/>
    <n v="68"/>
    <n v="80"/>
    <n v="11.5"/>
    <d v="2024-10-14T00:00:00"/>
    <s v="0258 Shoshone Center"/>
    <x v="68"/>
    <s v="Fulfilled"/>
    <n v="2"/>
    <n v="85"/>
    <s v="Sufficient"/>
    <s v="Available"/>
  </r>
  <r>
    <s v="71-999-2404"/>
    <x v="34"/>
    <s v="Fruits &amp; Vegetables"/>
    <s v="Meezzy"/>
    <x v="62"/>
    <n v="58"/>
    <n v="28"/>
    <n v="4.7"/>
    <d v="2024-08-05T00:00:00"/>
    <s v="18 Warrior Circle"/>
    <x v="1"/>
    <s v="Pending"/>
    <n v="1"/>
    <n v="63"/>
    <s v="Reoeder required"/>
    <s v="Available"/>
  </r>
  <r>
    <s v="03-919-9890"/>
    <x v="105"/>
    <s v="Seafood"/>
    <s v="Wikibox"/>
    <x v="28"/>
    <n v="29"/>
    <n v="70"/>
    <n v="20"/>
    <d v="2024-12-07T00:00:00"/>
    <s v="7 Riverside Road"/>
    <x v="26"/>
    <s v="Pending"/>
    <n v="5"/>
    <n v="44"/>
    <s v="Sufficient"/>
    <s v="Available"/>
  </r>
  <r>
    <s v="94-525-6925"/>
    <x v="11"/>
    <s v="Bakery"/>
    <s v="Kwilith"/>
    <x v="74"/>
    <n v="56"/>
    <n v="63"/>
    <n v="3"/>
    <d v="2024-05-16T00:00:00"/>
    <s v="667 Arkansas Circle"/>
    <x v="73"/>
    <s v="Pending"/>
    <n v="1"/>
    <n v="100"/>
    <s v="Reoeder required"/>
    <s v="Available"/>
  </r>
  <r>
    <s v="08-213-2058"/>
    <x v="84"/>
    <s v="Dairy"/>
    <s v="Babblestorm"/>
    <x v="9"/>
    <n v="73"/>
    <n v="14"/>
    <n v="4"/>
    <d v="2024-09-07T00:00:00"/>
    <s v="33 Clarendon Hill"/>
    <x v="22"/>
    <s v="Pending"/>
    <n v="5"/>
    <n v="65"/>
    <s v="Reoeder required"/>
    <s v="Available"/>
  </r>
  <r>
    <s v="51-312-8608"/>
    <x v="88"/>
    <s v="Dairy"/>
    <s v="Jabbersphere"/>
    <x v="75"/>
    <n v="60"/>
    <n v="21"/>
    <n v="8.9"/>
    <d v="2024-10-02T00:00:00"/>
    <s v="406 Westridge Alley"/>
    <x v="33"/>
    <s v="Pending"/>
    <n v="2"/>
    <n v="46"/>
    <s v="Sufficient"/>
    <s v="Available"/>
  </r>
  <r>
    <s v="67-512-9754"/>
    <x v="89"/>
    <s v="Dairy"/>
    <s v="DabZ"/>
    <x v="26"/>
    <n v="100"/>
    <n v="83"/>
    <n v="2.5"/>
    <d v="2024-07-21T00:00:00"/>
    <s v="69 Orin Plaza"/>
    <x v="15"/>
    <s v="Pending"/>
    <n v="3"/>
    <n v="28"/>
    <s v="Reoeder required"/>
    <s v="Available"/>
  </r>
  <r>
    <s v="45-402-0421"/>
    <x v="15"/>
    <s v="Dairy"/>
    <s v="Quinu"/>
    <x v="67"/>
    <n v="84"/>
    <n v="72"/>
    <n v="8"/>
    <d v="2024-12-08T00:00:00"/>
    <s v="36 Longview Street"/>
    <x v="75"/>
    <s v="Pending"/>
    <n v="6"/>
    <n v="20"/>
    <s v="Reoeder required"/>
    <s v="Available"/>
  </r>
  <r>
    <s v="85-207-4164"/>
    <x v="51"/>
    <s v="Fruits &amp; Vegetables"/>
    <s v="Tanoodle"/>
    <x v="23"/>
    <n v="20"/>
    <n v="72"/>
    <n v="3"/>
    <d v="2025-02-06T00:00:00"/>
    <s v="41 Comanche Park"/>
    <x v="18"/>
    <s v="Fulfilled"/>
    <n v="6"/>
    <n v="59"/>
    <s v="Sufficient"/>
    <s v="Available"/>
  </r>
  <r>
    <s v="72-780-6006"/>
    <x v="97"/>
    <s v="Oils &amp; Fats"/>
    <s v="Voolith"/>
    <x v="89"/>
    <n v="24"/>
    <n v="19"/>
    <n v="2.5"/>
    <d v="2024-12-13T00:00:00"/>
    <s v="88721 Dawn Crossing"/>
    <x v="48"/>
    <s v="Fulfilled"/>
    <n v="7"/>
    <n v="3"/>
    <s v="Sufficient"/>
    <s v="Available"/>
  </r>
  <r>
    <s v="93-166-3169"/>
    <x v="48"/>
    <s v="Beverages"/>
    <s v="Viva"/>
    <x v="62"/>
    <n v="81"/>
    <n v="66"/>
    <n v="25"/>
    <d v="2025-02-13T00:00:00"/>
    <s v="339 Crescent Oaks Plaza"/>
    <x v="1"/>
    <s v="Pending"/>
    <n v="6"/>
    <n v="78"/>
    <s v="Reoeder required"/>
    <s v="Available"/>
  </r>
  <r>
    <s v="21-718-6746"/>
    <x v="72"/>
    <s v="Fruits &amp; Vegetables"/>
    <s v="Eamia"/>
    <x v="24"/>
    <n v="53"/>
    <n v="12"/>
    <n v="5"/>
    <d v="2025-01-20T00:00:00"/>
    <s v="277 Pawling Terrace"/>
    <x v="7"/>
    <s v="Pending"/>
    <n v="1"/>
    <n v="29"/>
    <s v="Reoeder required"/>
    <s v="Available"/>
  </r>
  <r>
    <s v="93-966-7754"/>
    <x v="27"/>
    <s v="Fruits &amp; Vegetables"/>
    <s v="Quinu"/>
    <x v="17"/>
    <n v="35"/>
    <n v="3"/>
    <n v="3.5"/>
    <d v="2025-01-18T00:00:00"/>
    <s v="4 4th Place"/>
    <x v="28"/>
    <s v="Fulfilled"/>
    <n v="4"/>
    <n v="13"/>
    <s v="Sufficient"/>
    <s v="Available"/>
  </r>
  <r>
    <s v="47-663-5703"/>
    <x v="96"/>
    <s v="Grains &amp; Pulses"/>
    <s v="Kanoodle"/>
    <x v="72"/>
    <n v="49"/>
    <n v="40"/>
    <n v="4.5"/>
    <d v="2024-06-14T00:00:00"/>
    <s v="6500 Raven Drive"/>
    <x v="58"/>
    <s v="Pending"/>
    <n v="7"/>
    <n v="74"/>
    <s v="Reoeder required"/>
    <s v="Available"/>
  </r>
  <r>
    <s v="34-110-1040"/>
    <x v="53"/>
    <s v="Fruits &amp; Vegetables"/>
    <s v="Leenti"/>
    <x v="31"/>
    <n v="85"/>
    <n v="27"/>
    <n v="4.5"/>
    <d v="2024-06-09T00:00:00"/>
    <s v="42397 Knutson Place"/>
    <x v="51"/>
    <s v="Fulfilled"/>
    <n v="8"/>
    <n v="68"/>
    <s v="Reoeder required"/>
    <s v="Available"/>
  </r>
  <r>
    <s v="82-342-7339"/>
    <x v="113"/>
    <s v="Bakery"/>
    <s v="Yozio"/>
    <x v="76"/>
    <n v="61"/>
    <n v="23"/>
    <n v="5.5"/>
    <d v="2024-07-31T00:00:00"/>
    <s v="317 Anniversary Pass"/>
    <x v="13"/>
    <s v="Fulfilled"/>
    <n v="4"/>
    <n v="75"/>
    <s v="Sufficient"/>
    <s v="Available"/>
  </r>
  <r>
    <s v="43-670-8544"/>
    <x v="41"/>
    <s v="Fruits &amp; Vegetables"/>
    <s v="Camido"/>
    <x v="36"/>
    <n v="95"/>
    <n v="22"/>
    <n v="2.85"/>
    <d v="2024-05-14T00:00:00"/>
    <s v="3 Logan Trail"/>
    <x v="67"/>
    <s v="Fulfilled"/>
    <n v="5"/>
    <n v="82"/>
    <s v="Reoeder required"/>
    <s v="Available"/>
  </r>
  <r>
    <s v="12-439-8428"/>
    <x v="51"/>
    <s v="Fruits &amp; Vegetables"/>
    <s v="Ainyx"/>
    <x v="85"/>
    <n v="3"/>
    <n v="33"/>
    <n v="3"/>
    <d v="2024-09-14T00:00:00"/>
    <s v="6 Rusk Pass"/>
    <x v="65"/>
    <s v="Pending"/>
    <n v="3"/>
    <n v="17"/>
    <s v="Sufficient"/>
    <s v="Available"/>
  </r>
  <r>
    <s v="49-919-8798"/>
    <x v="107"/>
    <s v="Dairy"/>
    <s v="Gigabox"/>
    <x v="56"/>
    <n v="31"/>
    <n v="91"/>
    <n v="1.9"/>
    <d v="2024-08-04T00:00:00"/>
    <s v="3 Dottie Junction"/>
    <x v="1"/>
    <s v="Pending"/>
    <n v="7"/>
    <n v="42"/>
    <s v="Sufficient"/>
    <s v="Available"/>
  </r>
  <r>
    <s v="73-567-6194"/>
    <x v="68"/>
    <s v="Dairy"/>
    <s v="Yakitri"/>
    <x v="77"/>
    <n v="81"/>
    <n v="85"/>
    <n v="4"/>
    <d v="2024-12-10T00:00:00"/>
    <s v="069 Basil Center"/>
    <x v="29"/>
    <s v="Fulfilled"/>
    <n v="7"/>
    <n v="68"/>
    <s v="Reoeder required"/>
    <s v="Available"/>
  </r>
  <r>
    <s v="83-573-4586"/>
    <x v="90"/>
    <s v="Oils &amp; Fats"/>
    <s v="Thoughtbeat"/>
    <x v="25"/>
    <n v="95"/>
    <n v="82"/>
    <n v="6.5"/>
    <d v="2024-10-19T00:00:00"/>
    <s v="84575 Randy Point"/>
    <x v="18"/>
    <s v="Fulfilled"/>
    <n v="6"/>
    <n v="46"/>
    <s v="Reoeder required"/>
    <s v="Available"/>
  </r>
  <r>
    <s v="12-798-9401"/>
    <x v="58"/>
    <s v="Dairy"/>
    <s v="Thoughtblab"/>
    <x v="27"/>
    <n v="14"/>
    <n v="77"/>
    <n v="2.5"/>
    <d v="2024-05-12T00:00:00"/>
    <s v="5 Forster Point"/>
    <x v="16"/>
    <s v="Pending"/>
    <n v="3"/>
    <n v="4"/>
    <s v="Sufficient"/>
    <s v="Available"/>
  </r>
  <r>
    <s v="02-895-7781"/>
    <x v="111"/>
    <s v="Grains &amp; Pulses"/>
    <s v="Tagchat"/>
    <x v="37"/>
    <n v="55"/>
    <n v="76"/>
    <n v="5"/>
    <d v="2024-09-26T00:00:00"/>
    <s v="2582 Autumn Leaf Park"/>
    <x v="7"/>
    <s v="Fulfilled"/>
    <n v="7"/>
    <n v="13"/>
    <s v="Reoeder required"/>
    <s v="Available"/>
  </r>
  <r>
    <s v="83-625-3618"/>
    <x v="91"/>
    <s v="Fruits &amp; Vegetables"/>
    <s v="Realmix"/>
    <x v="75"/>
    <n v="12"/>
    <n v="73"/>
    <n v="5"/>
    <d v="2025-01-11T00:00:00"/>
    <s v="2696 Katie Road"/>
    <x v="45"/>
    <s v="Pending"/>
    <n v="1"/>
    <n v="95"/>
    <s v="Sufficient"/>
    <s v="Available"/>
  </r>
  <r>
    <s v="89-181-4523"/>
    <x v="114"/>
    <s v="Grains &amp; Pulses"/>
    <s v="Devbug"/>
    <x v="29"/>
    <n v="6"/>
    <n v="64"/>
    <n v="10"/>
    <d v="2024-06-23T00:00:00"/>
    <s v="022 Prairie Rose Drive"/>
    <x v="13"/>
    <s v="Pending"/>
    <n v="3"/>
    <n v="29"/>
    <s v="Sufficient"/>
    <s v="Available"/>
  </r>
  <r>
    <s v="95-354-8583"/>
    <x v="3"/>
    <s v="Grains &amp; Pulses"/>
    <s v="Meevee"/>
    <x v="84"/>
    <n v="40"/>
    <n v="93"/>
    <n v="1.5"/>
    <d v="2025-02-11T00:00:00"/>
    <s v="848 Mariners Cove Junction"/>
    <x v="43"/>
    <s v="Fulfilled"/>
    <n v="2"/>
    <n v="53"/>
    <s v="Sufficient"/>
    <s v="Available"/>
  </r>
  <r>
    <s v="90-303-1821"/>
    <x v="31"/>
    <s v="Fruits &amp; Vegetables"/>
    <s v="Edgewire"/>
    <x v="74"/>
    <n v="20"/>
    <n v="74"/>
    <n v="2"/>
    <d v="2024-08-03T00:00:00"/>
    <s v="6435 Burning Wood Drive"/>
    <x v="43"/>
    <s v="Fulfilled"/>
    <n v="2"/>
    <n v="57"/>
    <s v="Sufficient"/>
    <s v="Available"/>
  </r>
  <r>
    <s v="71-631-5875"/>
    <x v="115"/>
    <s v="Seafood"/>
    <s v="Feedfish"/>
    <x v="20"/>
    <n v="83"/>
    <n v="42"/>
    <n v="15"/>
    <d v="2024-09-09T00:00:00"/>
    <s v="13 Loomis Alley"/>
    <x v="26"/>
    <s v="Fulfilled"/>
    <n v="3"/>
    <n v="59"/>
    <s v="Sufficient"/>
    <s v="Available"/>
  </r>
  <r>
    <s v="02-275-6061"/>
    <x v="55"/>
    <s v="Fruits &amp; Vegetables"/>
    <s v="Edgewire"/>
    <x v="11"/>
    <n v="16"/>
    <n v="69"/>
    <n v="1.2"/>
    <d v="2024-03-26T00:00:00"/>
    <s v="6891 Mandrake Park"/>
    <x v="44"/>
    <s v="Pending"/>
    <n v="3"/>
    <n v="79"/>
    <s v="Sufficient"/>
    <s v="Available"/>
  </r>
  <r>
    <s v="04-001-1793"/>
    <x v="43"/>
    <s v="Beverages"/>
    <s v="Oozz"/>
    <x v="9"/>
    <n v="38"/>
    <n v="63"/>
    <n v="12"/>
    <d v="2025-02-02T00:00:00"/>
    <s v="0 Stoughton Terrace"/>
    <x v="74"/>
    <s v="Pending"/>
    <n v="8"/>
    <n v="65"/>
    <s v="Sufficient"/>
    <s v="Available"/>
  </r>
  <r>
    <s v="47-749-3277"/>
    <x v="86"/>
    <s v="Grains &amp; Pulses"/>
    <s v="Devbug"/>
    <x v="29"/>
    <n v="20"/>
    <n v="30"/>
    <n v="2.5"/>
    <d v="2024-02-29T00:00:00"/>
    <s v="502 Sachs Circle"/>
    <x v="46"/>
    <s v="Pending"/>
    <n v="7"/>
    <n v="24"/>
    <s v="Sufficient"/>
    <s v="Available"/>
  </r>
  <r>
    <s v="37-666-3902"/>
    <x v="78"/>
    <s v="Fruits &amp; Vegetables"/>
    <s v="Meevee"/>
    <x v="26"/>
    <n v="73"/>
    <n v="60"/>
    <n v="2.4500000000000002"/>
    <d v="2024-08-11T00:00:00"/>
    <s v="85276 Lakewood Gardens Alley"/>
    <x v="73"/>
    <s v="Pending"/>
    <n v="7"/>
    <n v="48"/>
    <s v="Reoeder required"/>
    <s v="Available"/>
  </r>
  <r>
    <s v="73-942-0508"/>
    <x v="100"/>
    <s v="Fruits &amp; Vegetables"/>
    <s v="Brightbean"/>
    <x v="33"/>
    <n v="100"/>
    <n v="94"/>
    <n v="4"/>
    <d v="2025-01-14T00:00:00"/>
    <s v="1034 2nd Point"/>
    <x v="50"/>
    <s v="Pending"/>
    <n v="3"/>
    <n v="2"/>
    <s v="Reoeder required"/>
    <s v="Available"/>
  </r>
  <r>
    <s v="57-359-3397"/>
    <x v="64"/>
    <s v="Fruits &amp; Vegetables"/>
    <s v="Twiyo"/>
    <x v="9"/>
    <n v="40"/>
    <n v="30"/>
    <n v="7"/>
    <d v="2024-10-02T00:00:00"/>
    <s v="81071 West Alley"/>
    <x v="3"/>
    <s v="Pending"/>
    <n v="6"/>
    <n v="26"/>
    <s v="Sufficient"/>
    <s v="Available"/>
  </r>
  <r>
    <s v="46-436-5351"/>
    <x v="85"/>
    <s v="Beverages"/>
    <s v="Fiveclub"/>
    <x v="76"/>
    <n v="54"/>
    <n v="21"/>
    <n v="8.5"/>
    <d v="2024-09-30T00:00:00"/>
    <s v="226 Calypso Road"/>
    <x v="68"/>
    <s v="Pending"/>
    <n v="2"/>
    <n v="37"/>
    <s v="Sufficient"/>
    <s v="Available"/>
  </r>
  <r>
    <s v="27-881-1177"/>
    <x v="85"/>
    <s v="Beverages"/>
    <s v="Skalith"/>
    <x v="68"/>
    <n v="47"/>
    <n v="99"/>
    <n v="8"/>
    <d v="2024-07-03T00:00:00"/>
    <s v="1223 Monument Drive"/>
    <x v="23"/>
    <s v="Pending"/>
    <n v="8"/>
    <n v="47"/>
    <s v="Reoeder required"/>
    <s v="Available"/>
  </r>
  <r>
    <s v="85-237-3505"/>
    <x v="85"/>
    <s v="Beverages"/>
    <s v="Thoughtsphere"/>
    <x v="20"/>
    <n v="50"/>
    <n v="88"/>
    <n v="8"/>
    <d v="2024-11-13T00:00:00"/>
    <s v="20073 Northfield Way"/>
    <x v="16"/>
    <s v="Fulfilled"/>
    <n v="6"/>
    <n v="28"/>
    <s v="Sufficient"/>
    <s v="Available"/>
  </r>
  <r>
    <s v="80-371-3695"/>
    <x v="67"/>
    <s v="Dairy"/>
    <s v="Divape"/>
    <x v="52"/>
    <n v="42"/>
    <n v="76"/>
    <n v="5"/>
    <d v="2024-11-30T00:00:00"/>
    <s v="163 Esch Pass"/>
    <x v="24"/>
    <s v="Pending"/>
    <n v="7"/>
    <n v="81"/>
    <s v="Sufficient"/>
    <s v="Available"/>
  </r>
  <r>
    <s v="04-758-0410"/>
    <x v="114"/>
    <s v="Grains &amp; Pulses"/>
    <s v="Wordpedia"/>
    <x v="11"/>
    <n v="21"/>
    <n v="47"/>
    <n v="10"/>
    <d v="2024-08-16T00:00:00"/>
    <s v="5 Toban Circle"/>
    <x v="35"/>
    <s v="Pending"/>
    <n v="6"/>
    <n v="59"/>
    <s v="Sufficient"/>
    <s v="Available"/>
  </r>
  <r>
    <s v="65-644-1394"/>
    <x v="25"/>
    <s v="Fruits &amp; Vegetables"/>
    <s v="Lazz"/>
    <x v="11"/>
    <n v="95"/>
    <n v="36"/>
    <n v="4.5"/>
    <d v="2025-01-06T00:00:00"/>
    <s v="582 Dahle Center"/>
    <x v="57"/>
    <s v="Pending"/>
    <n v="6"/>
    <n v="14"/>
    <s v="Reoeder required"/>
    <s v="Available"/>
  </r>
  <r>
    <s v="04-293-6969"/>
    <x v="76"/>
    <s v="Fruits &amp; Vegetables"/>
    <s v="Linktype"/>
    <x v="4"/>
    <n v="38"/>
    <n v="24"/>
    <n v="4"/>
    <d v="2024-09-02T00:00:00"/>
    <s v="0 Oak Valley Lane"/>
    <x v="47"/>
    <s v="Pending"/>
    <n v="6"/>
    <n v="32"/>
    <s v="Reoeder required"/>
    <s v="Available"/>
  </r>
  <r>
    <s v="40-997-2786"/>
    <x v="109"/>
    <s v="Dairy"/>
    <s v="Browsecat"/>
    <x v="77"/>
    <n v="98"/>
    <n v="41"/>
    <n v="1.75"/>
    <d v="2024-05-23T00:00:00"/>
    <s v="5551 Mallory Lane"/>
    <x v="4"/>
    <s v="Fulfilled"/>
    <n v="1"/>
    <n v="48"/>
    <s v="Reoeder required"/>
    <s v="Available"/>
  </r>
  <r>
    <s v="91-553-1774"/>
    <x v="13"/>
    <s v="Dairy"/>
    <s v="Demivee"/>
    <x v="76"/>
    <n v="43"/>
    <n v="80"/>
    <n v="7"/>
    <d v="2024-09-05T00:00:00"/>
    <s v="84 Washington Crossing"/>
    <x v="44"/>
    <s v="Fulfilled"/>
    <n v="5"/>
    <n v="53"/>
    <s v="Sufficient"/>
    <s v="Available"/>
  </r>
  <r>
    <s v="13-980-8804"/>
    <x v="116"/>
    <s v="Fruits &amp; Vegetables"/>
    <s v="Photospace"/>
    <x v="46"/>
    <n v="3"/>
    <n v="32"/>
    <n v="2"/>
    <d v="2024-10-01T00:00:00"/>
    <s v="41 Nelson Center"/>
    <x v="60"/>
    <s v="Fulfilled"/>
    <n v="2"/>
    <n v="91"/>
    <s v="Sufficient"/>
    <s v="Available"/>
  </r>
  <r>
    <s v="19-672-8982"/>
    <x v="37"/>
    <s v="Dairy"/>
    <s v="Meembee"/>
    <x v="55"/>
    <n v="87"/>
    <n v="67"/>
    <n v="3.1"/>
    <d v="2025-01-23T00:00:00"/>
    <s v="285 East Plaza"/>
    <x v="44"/>
    <s v="Pending"/>
    <n v="3"/>
    <n v="69"/>
    <s v="Reoeder required"/>
    <s v="Available"/>
  </r>
  <r>
    <s v="35-299-0889"/>
    <x v="117"/>
    <s v="Oils &amp; Fats"/>
    <s v="Gevee"/>
    <x v="64"/>
    <n v="78"/>
    <n v="79"/>
    <n v="5"/>
    <d v="2024-07-11T00:00:00"/>
    <s v="95 Packers Lane"/>
    <x v="30"/>
    <s v="Pending"/>
    <n v="8"/>
    <n v="25"/>
    <s v="Reoeder required"/>
    <s v="Available"/>
  </r>
  <r>
    <s v="17-022-9721"/>
    <x v="110"/>
    <s v="Fruits &amp; Vegetables"/>
    <s v="Chatterpoint"/>
    <x v="9"/>
    <n v="63"/>
    <n v="99"/>
    <n v="3.5"/>
    <d v="2024-12-13T00:00:00"/>
    <s v="39 Dahle Alley"/>
    <x v="34"/>
    <s v="Fulfilled"/>
    <n v="2"/>
    <n v="77"/>
    <s v="Reoeder required"/>
    <s v="Available"/>
  </r>
  <r>
    <s v="22-849-2551"/>
    <x v="23"/>
    <s v="Fruits &amp; Vegetables"/>
    <s v="Izio"/>
    <x v="68"/>
    <n v="1"/>
    <n v="79"/>
    <n v="6.2"/>
    <d v="2024-12-20T00:00:00"/>
    <s v="81533 John Wall Court"/>
    <x v="63"/>
    <s v="Pending"/>
    <n v="3"/>
    <n v="36"/>
    <s v="Sufficient"/>
    <s v="Available"/>
  </r>
  <r>
    <s v="53-050-8242"/>
    <x v="101"/>
    <s v="Seafood"/>
    <s v="Yodoo"/>
    <x v="45"/>
    <n v="25"/>
    <n v="94"/>
    <n v="7.5"/>
    <d v="2024-03-16T00:00:00"/>
    <s v="9 Cordelia Trail"/>
    <x v="15"/>
    <s v="Fulfilled"/>
    <n v="2"/>
    <n v="14"/>
    <s v="Sufficient"/>
    <s v="Available"/>
  </r>
  <r>
    <s v="88-183-5781"/>
    <x v="118"/>
    <s v="Bakery"/>
    <s v="Lazz"/>
    <x v="85"/>
    <n v="63"/>
    <n v="3"/>
    <n v="3.5"/>
    <d v="2024-08-24T00:00:00"/>
    <s v="46 Delaware Place"/>
    <x v="47"/>
    <s v="Pending"/>
    <n v="2"/>
    <n v="26"/>
    <s v="Reoeder required"/>
    <s v="Available"/>
  </r>
  <r>
    <s v="09-101-1740"/>
    <x v="0"/>
    <s v="Grains &amp; Pulses"/>
    <s v="Talane"/>
    <x v="80"/>
    <n v="81"/>
    <n v="54"/>
    <n v="4.75"/>
    <d v="2024-12-20T00:00:00"/>
    <s v="96629 Nova Plaza"/>
    <x v="21"/>
    <s v="Pending"/>
    <n v="6"/>
    <n v="60"/>
    <s v="Reoeder required"/>
    <s v="Available"/>
  </r>
  <r>
    <s v="98-445-7372"/>
    <x v="73"/>
    <s v="Seafood"/>
    <s v="Roombo"/>
    <x v="17"/>
    <n v="79"/>
    <n v="52"/>
    <n v="8"/>
    <d v="2024-10-03T00:00:00"/>
    <s v="8531 Manley Court"/>
    <x v="8"/>
    <s v="Fulfilled"/>
    <n v="8"/>
    <n v="94"/>
    <s v="Reoeder required"/>
    <s v="Available"/>
  </r>
  <r>
    <s v="29-875-6900"/>
    <x v="108"/>
    <s v="Fruits &amp; Vegetables"/>
    <s v="Avaveo"/>
    <x v="1"/>
    <n v="28"/>
    <n v="6"/>
    <n v="4.5"/>
    <d v="2025-01-23T00:00:00"/>
    <s v="2 Sachtjen Park"/>
    <x v="41"/>
    <s v="Fulfilled"/>
    <n v="3"/>
    <n v="16"/>
    <s v="Sufficient"/>
    <s v="Available"/>
  </r>
  <r>
    <s v="27-757-4489"/>
    <x v="7"/>
    <s v="Dairy"/>
    <s v="Abatz"/>
    <x v="51"/>
    <n v="78"/>
    <n v="68"/>
    <n v="2.5"/>
    <d v="2025-01-19T00:00:00"/>
    <s v="27535 Morrow Avenue"/>
    <x v="3"/>
    <s v="Pending"/>
    <n v="5"/>
    <n v="91"/>
    <s v="Reoeder required"/>
    <s v="Available"/>
  </r>
  <r>
    <s v="51-069-0489"/>
    <x v="14"/>
    <s v="Grains &amp; Pulses"/>
    <s v="Oloo"/>
    <x v="6"/>
    <n v="83"/>
    <n v="50"/>
    <n v="1.5"/>
    <d v="2024-03-30T00:00:00"/>
    <s v="3 Anthes Place"/>
    <x v="68"/>
    <s v="Fulfilled"/>
    <n v="2"/>
    <n v="89"/>
    <s v="Sufficient"/>
    <s v="Available"/>
  </r>
  <r>
    <s v="20-325-1965"/>
    <x v="72"/>
    <s v="Fruits &amp; Vegetables"/>
    <s v="Katz"/>
    <x v="61"/>
    <n v="75"/>
    <n v="13"/>
    <n v="5"/>
    <d v="2024-04-04T00:00:00"/>
    <s v="78884 Union Street"/>
    <x v="27"/>
    <s v="Fulfilled"/>
    <n v="2"/>
    <n v="53"/>
    <s v="Reoeder required"/>
    <s v="Available"/>
  </r>
  <r>
    <s v="76-090-4411"/>
    <x v="47"/>
    <s v="Dairy"/>
    <s v="Shufflester"/>
    <x v="16"/>
    <n v="94"/>
    <n v="18"/>
    <n v="6"/>
    <d v="2024-08-10T00:00:00"/>
    <s v="15 Loomis Avenue"/>
    <x v="39"/>
    <s v="Fulfilled"/>
    <n v="6"/>
    <n v="11"/>
    <s v="Reoeder required"/>
    <s v="Available"/>
  </r>
  <r>
    <s v="01-703-8441"/>
    <x v="21"/>
    <s v="Grains &amp; Pulses"/>
    <s v="Cogilith"/>
    <x v="46"/>
    <n v="10"/>
    <n v="89"/>
    <n v="1.5"/>
    <d v="2025-01-01T00:00:00"/>
    <s v="4029 Lotheville Pass"/>
    <x v="50"/>
    <s v="Fulfilled"/>
    <n v="6"/>
    <n v="38"/>
    <s v="Sufficient"/>
    <s v="Available"/>
  </r>
  <r>
    <s v="09-622-7119"/>
    <x v="30"/>
    <s v="Seafood"/>
    <s v="Youtags"/>
    <x v="2"/>
    <n v="81"/>
    <n v="99"/>
    <n v="9"/>
    <d v="2025-01-30T00:00:00"/>
    <s v="665 Sommers Circle"/>
    <x v="77"/>
    <s v="Pending"/>
    <n v="5"/>
    <n v="3"/>
    <s v="Reoeder required"/>
    <s v="Available"/>
  </r>
  <r>
    <s v="45-172-7012"/>
    <x v="108"/>
    <s v="Fruits &amp; Vegetables"/>
    <s v="Brightbean"/>
    <x v="53"/>
    <n v="91"/>
    <n v="12"/>
    <n v="4.5"/>
    <d v="2024-12-13T00:00:00"/>
    <s v="11 Kedzie Avenue"/>
    <x v="41"/>
    <s v="Pending"/>
    <n v="8"/>
    <n v="50"/>
    <s v="Reoeder required"/>
    <s v="Available"/>
  </r>
  <r>
    <s v="06-849-4869"/>
    <x v="90"/>
    <s v="Oils &amp; Fats"/>
    <s v="Rhycero"/>
    <x v="42"/>
    <n v="15"/>
    <n v="16"/>
    <n v="6.5"/>
    <d v="2025-02-19T00:00:00"/>
    <s v="041 Paget Alley"/>
    <x v="17"/>
    <s v="Fulfilled"/>
    <n v="7"/>
    <n v="24"/>
    <s v="Sufficient"/>
    <s v="Available"/>
  </r>
  <r>
    <s v="30-996-2526"/>
    <x v="18"/>
    <s v="Fruits &amp; Vegetables"/>
    <s v="Izio"/>
    <x v="66"/>
    <n v="90"/>
    <n v="39"/>
    <n v="2.1"/>
    <d v="2024-02-28T00:00:00"/>
    <s v="77 Monterey Avenue"/>
    <x v="60"/>
    <s v="Pending"/>
    <n v="8"/>
    <n v="85"/>
    <s v="Reoeder required"/>
    <s v="Available"/>
  </r>
  <r>
    <s v="71-074-6292"/>
    <x v="40"/>
    <s v="Bakery"/>
    <s v="Plajo"/>
    <x v="17"/>
    <n v="79"/>
    <n v="49"/>
    <n v="4"/>
    <d v="2024-06-10T00:00:00"/>
    <s v="338 Annamark Court"/>
    <x v="10"/>
    <s v="Pending"/>
    <n v="1"/>
    <n v="9"/>
    <s v="Reoeder required"/>
    <s v="Available"/>
  </r>
  <r>
    <s v="98-909-9395"/>
    <x v="67"/>
    <s v="Dairy"/>
    <s v="Feedfire"/>
    <x v="38"/>
    <n v="98"/>
    <n v="92"/>
    <n v="5"/>
    <d v="2024-08-31T00:00:00"/>
    <s v="43 Heath Street"/>
    <x v="41"/>
    <s v="Fulfilled"/>
    <n v="3"/>
    <n v="98"/>
    <s v="Reoeder required"/>
    <s v="Available"/>
  </r>
  <r>
    <s v="61-796-6540"/>
    <x v="47"/>
    <s v="Dairy"/>
    <s v="Fliptune"/>
    <x v="20"/>
    <n v="4"/>
    <n v="79"/>
    <n v="6"/>
    <d v="2024-06-02T00:00:00"/>
    <s v="126 Spohn Plaza"/>
    <x v="61"/>
    <s v="Fulfilled"/>
    <n v="2"/>
    <n v="39"/>
    <s v="Sufficient"/>
    <s v="Available"/>
  </r>
  <r>
    <s v="41-735-9837"/>
    <x v="93"/>
    <s v="Beverages"/>
    <s v="Devpulse"/>
    <x v="39"/>
    <n v="77"/>
    <n v="78"/>
    <n v="10"/>
    <d v="2024-08-28T00:00:00"/>
    <s v="2374 Chive Court"/>
    <x v="0"/>
    <s v="Pending"/>
    <n v="2"/>
    <n v="24"/>
    <s v="Reoeder required"/>
    <s v="Available"/>
  </r>
  <r>
    <s v="60-343-3288"/>
    <x v="70"/>
    <s v="Seafood"/>
    <s v="Vipe"/>
    <x v="42"/>
    <n v="92"/>
    <n v="66"/>
    <n v="6.7"/>
    <d v="2025-01-01T00:00:00"/>
    <s v="6 Hanover Terrace"/>
    <x v="46"/>
    <s v="Fulfilled"/>
    <n v="5"/>
    <n v="85"/>
    <s v="Reoeder required"/>
    <s v="Available"/>
  </r>
  <r>
    <s v="27-783-5470"/>
    <x v="13"/>
    <s v="Dairy"/>
    <s v="Thoughtstorm"/>
    <x v="59"/>
    <n v="65"/>
    <n v="5"/>
    <n v="7"/>
    <d v="2024-07-27T00:00:00"/>
    <s v="6 Tony Junction"/>
    <x v="7"/>
    <s v="Fulfilled"/>
    <n v="2"/>
    <n v="42"/>
    <s v="Sufficient"/>
    <s v="Available"/>
  </r>
  <r>
    <s v="60-456-8169"/>
    <x v="88"/>
    <s v="Dairy"/>
    <s v="Oyoba"/>
    <x v="55"/>
    <n v="28"/>
    <n v="72"/>
    <n v="9"/>
    <d v="2024-02-28T00:00:00"/>
    <s v="710 Service Park"/>
    <x v="12"/>
    <s v="Pending"/>
    <n v="5"/>
    <n v="51"/>
    <s v="Reoeder required"/>
    <s v="Available"/>
  </r>
  <r>
    <s v="99-420-3592"/>
    <x v="56"/>
    <s v="Bakery"/>
    <s v="Quatz"/>
    <x v="0"/>
    <n v="24"/>
    <n v="94"/>
    <n v="6"/>
    <d v="2024-07-21T00:00:00"/>
    <s v="206 Pine View Junction"/>
    <x v="11"/>
    <s v="Pending"/>
    <n v="5"/>
    <n v="71"/>
    <s v="Reoeder required"/>
    <s v="Available"/>
  </r>
  <r>
    <s v="35-836-6718"/>
    <x v="47"/>
    <s v="Dairy"/>
    <s v="Thoughtblab"/>
    <x v="8"/>
    <n v="14"/>
    <n v="99"/>
    <n v="6"/>
    <d v="2025-01-25T00:00:00"/>
    <s v="05 Canary Circle"/>
    <x v="25"/>
    <s v="Fulfilled"/>
    <n v="6"/>
    <n v="5"/>
    <s v="Sufficient"/>
    <s v="Available"/>
  </r>
  <r>
    <s v="51-273-4240"/>
    <x v="38"/>
    <s v="Bakery"/>
    <s v="Devpulse"/>
    <x v="42"/>
    <n v="57"/>
    <n v="25"/>
    <n v="3.5"/>
    <d v="2024-09-26T00:00:00"/>
    <s v="7 Prairieview Place"/>
    <x v="43"/>
    <s v="Fulfilled"/>
    <n v="4"/>
    <n v="42"/>
    <s v="Sufficient"/>
    <s v="Available"/>
  </r>
  <r>
    <s v="38-924-3007"/>
    <x v="57"/>
    <s v="Fruits &amp; Vegetables"/>
    <s v="Photolist"/>
    <x v="3"/>
    <n v="28"/>
    <n v="11"/>
    <n v="3"/>
    <d v="2025-01-05T00:00:00"/>
    <s v="6 Anthes Court"/>
    <x v="17"/>
    <s v="Pending"/>
    <n v="2"/>
    <n v="88"/>
    <s v="Reoeder required"/>
    <s v="Available"/>
  </r>
  <r>
    <s v="52-123-8039"/>
    <x v="75"/>
    <s v="Fruits &amp; Vegetables"/>
    <s v="Browsebug"/>
    <x v="9"/>
    <n v="65"/>
    <n v="66"/>
    <n v="6"/>
    <d v="2024-09-03T00:00:00"/>
    <s v="7 Schiller Court"/>
    <x v="16"/>
    <s v="Pending"/>
    <n v="4"/>
    <n v="73"/>
    <s v="Reoeder required"/>
    <s v="Available"/>
  </r>
  <r>
    <s v="34-131-8805"/>
    <x v="109"/>
    <s v="Dairy"/>
    <s v="Eimbee"/>
    <x v="40"/>
    <n v="92"/>
    <n v="28"/>
    <n v="1.75"/>
    <d v="2024-09-10T00:00:00"/>
    <s v="44249 Sutteridge Crossing"/>
    <x v="25"/>
    <s v="Fulfilled"/>
    <n v="6"/>
    <n v="67"/>
    <s v="Reoeder required"/>
    <s v="Available"/>
  </r>
  <r>
    <s v="28-505-8317"/>
    <x v="94"/>
    <s v="Fruits &amp; Vegetables"/>
    <s v="Digitube"/>
    <x v="65"/>
    <n v="85"/>
    <n v="94"/>
    <n v="3"/>
    <d v="2024-07-23T00:00:00"/>
    <s v="848 Old Gate Parkway"/>
    <x v="57"/>
    <s v="Pending"/>
    <n v="2"/>
    <n v="72"/>
    <s v="Reoeder required"/>
    <s v="Available"/>
  </r>
  <r>
    <s v="41-594-5069"/>
    <x v="9"/>
    <s v="Dairy"/>
    <s v="Blogtags"/>
    <x v="25"/>
    <n v="1"/>
    <n v="41"/>
    <n v="1"/>
    <d v="2025-02-05T00:00:00"/>
    <s v="9 Clemons Hill"/>
    <x v="63"/>
    <s v="Fulfilled"/>
    <n v="3"/>
    <n v="55"/>
    <s v="Sufficient"/>
    <s v="Available"/>
  </r>
  <r>
    <s v="94-658-4945"/>
    <x v="116"/>
    <s v="Fruits &amp; Vegetables"/>
    <s v="Skibox"/>
    <x v="17"/>
    <n v="10"/>
    <n v="81"/>
    <n v="2"/>
    <d v="2025-02-12T00:00:00"/>
    <s v="15 Veith Circle"/>
    <x v="75"/>
    <s v="Pending"/>
    <n v="4"/>
    <n v="61"/>
    <s v="Sufficient"/>
    <s v="Available"/>
  </r>
  <r>
    <s v="69-561-2496"/>
    <x v="74"/>
    <s v="Fruits &amp; Vegetables"/>
    <s v="Skinix"/>
    <x v="45"/>
    <n v="29"/>
    <n v="62"/>
    <n v="15.31"/>
    <d v="2024-03-18T00:00:00"/>
    <s v="154 Delladonna Hill"/>
    <x v="76"/>
    <s v="Fulfilled"/>
    <n v="8"/>
    <n v="27"/>
    <s v="Sufficient"/>
    <s v="Available"/>
  </r>
  <r>
    <s v="98-858-6323"/>
    <x v="15"/>
    <s v="Dairy"/>
    <s v="Janyx"/>
    <x v="53"/>
    <n v="17"/>
    <n v="71"/>
    <n v="8"/>
    <d v="2025-01-07T00:00:00"/>
    <s v="80729 Homewood Plaza"/>
    <x v="25"/>
    <s v="Pending"/>
    <n v="1"/>
    <n v="65"/>
    <s v="Sufficient"/>
    <s v="Available"/>
  </r>
  <r>
    <s v="92-995-8689"/>
    <x v="88"/>
    <s v="Dairy"/>
    <s v="Wordify"/>
    <x v="22"/>
    <n v="65"/>
    <n v="94"/>
    <n v="9"/>
    <d v="2024-10-17T00:00:00"/>
    <s v="1 Merchant Circle"/>
    <x v="13"/>
    <s v="Pending"/>
    <n v="6"/>
    <n v="7"/>
    <s v="Reoeder required"/>
    <s v="Available"/>
  </r>
  <r>
    <s v="43-164-5984"/>
    <x v="37"/>
    <s v="Dairy"/>
    <s v="Shuffletag"/>
    <x v="80"/>
    <n v="75"/>
    <n v="35"/>
    <n v="2.9"/>
    <d v="2024-06-17T00:00:00"/>
    <s v="70862 Lighthouse Bay Junction"/>
    <x v="51"/>
    <s v="Fulfilled"/>
    <n v="2"/>
    <n v="41"/>
    <s v="Reoeder required"/>
    <s v="Available"/>
  </r>
  <r>
    <s v="58-122-2282"/>
    <x v="46"/>
    <s v="Beverages"/>
    <s v="Ozu"/>
    <x v="43"/>
    <n v="20"/>
    <n v="17"/>
    <n v="5"/>
    <d v="2024-06-30T00:00:00"/>
    <s v="96 American Ash Center"/>
    <x v="78"/>
    <s v="Fulfilled"/>
    <n v="5"/>
    <n v="15"/>
    <s v="Sufficient"/>
    <s v="Available"/>
  </r>
  <r>
    <s v="84-269-9130"/>
    <x v="3"/>
    <s v="Grains &amp; Pulses"/>
    <s v="Flashspan"/>
    <x v="73"/>
    <n v="10"/>
    <n v="80"/>
    <n v="1.5"/>
    <d v="2024-09-27T00:00:00"/>
    <s v="49263 Graceland Pass"/>
    <x v="67"/>
    <s v="Pending"/>
    <n v="4"/>
    <n v="65"/>
    <s v="Sufficient"/>
    <s v="Available"/>
  </r>
  <r>
    <s v="11-922-3342"/>
    <x v="36"/>
    <s v="Beverages"/>
    <s v="Gabspot"/>
    <x v="35"/>
    <n v="77"/>
    <n v="32"/>
    <n v="15.5"/>
    <d v="2024-06-10T00:00:00"/>
    <s v="094 Carberry Lane"/>
    <x v="62"/>
    <s v="Pending"/>
    <n v="6"/>
    <n v="42"/>
    <s v="Reoeder required"/>
    <s v="Available"/>
  </r>
  <r>
    <s v="60-550-4771"/>
    <x v="30"/>
    <s v="Seafood"/>
    <s v="Kwimbee"/>
    <x v="31"/>
    <n v="80"/>
    <n v="87"/>
    <n v="9"/>
    <d v="2024-10-03T00:00:00"/>
    <s v="1 Monica Lane"/>
    <x v="65"/>
    <s v="Fulfilled"/>
    <n v="6"/>
    <n v="40"/>
    <s v="Reoeder required"/>
    <s v="Available"/>
  </r>
  <r>
    <s v="88-951-9038"/>
    <x v="36"/>
    <s v="Beverages"/>
    <s v="Youfeed"/>
    <x v="73"/>
    <n v="72"/>
    <n v="5"/>
    <n v="15"/>
    <d v="2024-10-11T00:00:00"/>
    <s v="5 Anderson Trail"/>
    <x v="72"/>
    <s v="Pending"/>
    <n v="4"/>
    <n v="4"/>
    <s v="Reoeder required"/>
    <s v="Available"/>
  </r>
  <r>
    <s v="08-114-3922"/>
    <x v="95"/>
    <s v="Seafood"/>
    <s v="Camido"/>
    <x v="34"/>
    <n v="64"/>
    <n v="36"/>
    <n v="10"/>
    <d v="2024-02-25T00:00:00"/>
    <s v="709 Vidon Avenue"/>
    <x v="5"/>
    <s v="Fulfilled"/>
    <n v="7"/>
    <n v="48"/>
    <s v="Reoeder required"/>
    <s v="Available"/>
  </r>
  <r>
    <s v="70-145-2550"/>
    <x v="35"/>
    <s v="Fruits &amp; Vegetables"/>
    <s v="Yata"/>
    <x v="8"/>
    <n v="6"/>
    <n v="37"/>
    <n v="2.4"/>
    <d v="2024-08-07T00:00:00"/>
    <s v="5141 Anniversary Crossing"/>
    <x v="39"/>
    <s v="Fulfilled"/>
    <n v="2"/>
    <n v="70"/>
    <s v="Sufficient"/>
    <s v="Available"/>
  </r>
  <r>
    <s v="51-761-6320"/>
    <x v="7"/>
    <s v="Dairy"/>
    <s v="Youopia"/>
    <x v="9"/>
    <n v="78"/>
    <n v="85"/>
    <n v="2.5"/>
    <d v="2024-08-30T00:00:00"/>
    <s v="587 Vermont Terrace"/>
    <x v="67"/>
    <s v="Pending"/>
    <n v="5"/>
    <n v="98"/>
    <s v="Reoeder required"/>
    <s v="Available"/>
  </r>
  <r>
    <s v="55-803-3964"/>
    <x v="14"/>
    <s v="Grains &amp; Pulses"/>
    <s v="Demizz"/>
    <x v="71"/>
    <n v="60"/>
    <n v="36"/>
    <n v="1.5"/>
    <d v="2024-08-26T00:00:00"/>
    <s v="149 Valley Edge Point"/>
    <x v="2"/>
    <s v="Pending"/>
    <n v="2"/>
    <n v="41"/>
    <s v="Reoeder required"/>
    <s v="Available"/>
  </r>
  <r>
    <s v="11-815-7923"/>
    <x v="20"/>
    <s v="Dairy"/>
    <s v="Rhyloo"/>
    <x v="6"/>
    <n v="9"/>
    <n v="57"/>
    <n v="11.8"/>
    <d v="2024-06-16T00:00:00"/>
    <s v="89 Springs Alley"/>
    <x v="16"/>
    <s v="Fulfilled"/>
    <n v="5"/>
    <n v="67"/>
    <s v="Sufficient"/>
    <s v="Available"/>
  </r>
  <r>
    <s v="83-966-3280"/>
    <x v="101"/>
    <s v="Seafood"/>
    <s v="Twitterworks"/>
    <x v="2"/>
    <n v="29"/>
    <n v="70"/>
    <n v="7.5"/>
    <d v="2024-10-13T00:00:00"/>
    <s v="0743 4th Place"/>
    <x v="62"/>
    <s v="Pending"/>
    <n v="6"/>
    <n v="43"/>
    <s v="Sufficient"/>
    <s v="Available"/>
  </r>
  <r>
    <s v="29-592-7315"/>
    <x v="54"/>
    <s v="Grains &amp; Pulses"/>
    <s v="Dabtype"/>
    <x v="61"/>
    <n v="4"/>
    <n v="74"/>
    <n v="4.5"/>
    <d v="2024-07-04T00:00:00"/>
    <s v="21625 Schlimgen Park"/>
    <x v="26"/>
    <s v="Pending"/>
    <n v="3"/>
    <n v="73"/>
    <s v="Sufficient"/>
    <s v="Available"/>
  </r>
  <r>
    <s v="65-235-7676"/>
    <x v="118"/>
    <s v="Bakery"/>
    <s v="Quire"/>
    <x v="8"/>
    <n v="71"/>
    <n v="17"/>
    <n v="3.5"/>
    <d v="2024-08-01T00:00:00"/>
    <s v="31208 Westerfield Way"/>
    <x v="49"/>
    <s v="Fulfilled"/>
    <n v="4"/>
    <n v="57"/>
    <s v="Sufficient"/>
    <s v="Available"/>
  </r>
  <r>
    <s v="40-683-0283"/>
    <x v="10"/>
    <s v="Grains &amp; Pulses"/>
    <s v="Topicshots"/>
    <x v="15"/>
    <n v="64"/>
    <n v="78"/>
    <n v="2"/>
    <d v="2024-05-04T00:00:00"/>
    <s v="322 Birchwood Center"/>
    <x v="42"/>
    <s v="Pending"/>
    <n v="3"/>
    <n v="4"/>
    <s v="Reoeder required"/>
    <s v="Available"/>
  </r>
  <r>
    <s v="83-553-9523"/>
    <x v="83"/>
    <s v="Dairy"/>
    <s v="Zoombox"/>
    <x v="44"/>
    <n v="90"/>
    <n v="70"/>
    <n v="2.4500000000000002"/>
    <d v="2025-02-14T00:00:00"/>
    <s v="84336 Haas Place"/>
    <x v="50"/>
    <s v="Pending"/>
    <n v="2"/>
    <n v="78"/>
    <s v="Reoeder required"/>
    <s v="Available"/>
  </r>
  <r>
    <s v="40-793-7235"/>
    <x v="84"/>
    <s v="Dairy"/>
    <s v="Chatterbridge"/>
    <x v="40"/>
    <n v="67"/>
    <n v="51"/>
    <n v="4"/>
    <d v="2024-12-09T00:00:00"/>
    <s v="68086 Crowley Circle"/>
    <x v="61"/>
    <s v="Fulfilled"/>
    <n v="5"/>
    <n v="78"/>
    <s v="Sufficient"/>
    <s v="Available"/>
  </r>
  <r>
    <s v="74-666-5671"/>
    <x v="82"/>
    <s v="Seafood"/>
    <s v="Youspan"/>
    <x v="4"/>
    <n v="33"/>
    <n v="80"/>
    <n v="18"/>
    <d v="2024-05-10T00:00:00"/>
    <s v="11263 Kipling Hill"/>
    <x v="9"/>
    <s v="Fulfilled"/>
    <n v="5"/>
    <n v="73"/>
    <s v="Sufficient"/>
    <s v="Available"/>
  </r>
  <r>
    <s v="90-865-9150"/>
    <x v="86"/>
    <s v="Grains &amp; Pulses"/>
    <s v="Kazu"/>
    <x v="44"/>
    <n v="24"/>
    <n v="97"/>
    <n v="2.5"/>
    <d v="2024-05-12T00:00:00"/>
    <s v="00029 Fisk Point"/>
    <x v="19"/>
    <s v="Pending"/>
    <n v="5"/>
    <n v="5"/>
    <s v="Sufficient"/>
    <s v="Available"/>
  </r>
  <r>
    <s v="46-255-3073"/>
    <x v="70"/>
    <s v="Seafood"/>
    <s v="Vinder"/>
    <x v="2"/>
    <n v="42"/>
    <n v="8"/>
    <n v="7"/>
    <d v="2025-01-06T00:00:00"/>
    <s v="57 Eastwood Junction"/>
    <x v="67"/>
    <s v="Pending"/>
    <n v="1"/>
    <n v="23"/>
    <s v="Reoeder required"/>
    <s v="Available"/>
  </r>
  <r>
    <s v="11-155-7826"/>
    <x v="1"/>
    <s v="Beverages"/>
    <s v="Feedfire"/>
    <x v="84"/>
    <n v="83"/>
    <n v="5"/>
    <n v="20"/>
    <d v="2025-01-31T00:00:00"/>
    <s v="321 Barby Parkway"/>
    <x v="34"/>
    <s v="Fulfilled"/>
    <n v="1"/>
    <n v="79"/>
    <s v="Sufficient"/>
    <s v="Available"/>
  </r>
  <r>
    <s v="99-543-5039"/>
    <x v="35"/>
    <s v="Fruits &amp; Vegetables"/>
    <s v="Livetube"/>
    <x v="17"/>
    <n v="88"/>
    <n v="20"/>
    <n v="2.5"/>
    <d v="2024-11-20T00:00:00"/>
    <s v="71796 Waubesa Terrace"/>
    <x v="72"/>
    <s v="Pending"/>
    <n v="1"/>
    <n v="37"/>
    <s v="Reoeder required"/>
    <s v="Available"/>
  </r>
  <r>
    <s v="99-033-5661"/>
    <x v="66"/>
    <s v="Grains &amp; Pulses"/>
    <s v="Zava"/>
    <x v="83"/>
    <n v="3"/>
    <n v="21"/>
    <n v="2"/>
    <d v="2025-01-27T00:00:00"/>
    <s v="289 Longview Point"/>
    <x v="41"/>
    <s v="Fulfilled"/>
    <n v="2"/>
    <n v="22"/>
    <s v="Sufficient"/>
    <s v="Available"/>
  </r>
  <r>
    <s v="28-608-0039"/>
    <x v="35"/>
    <s v="Fruits &amp; Vegetables"/>
    <s v="Avavee"/>
    <x v="21"/>
    <n v="60"/>
    <n v="54"/>
    <n v="2.5"/>
    <d v="2024-05-21T00:00:00"/>
    <s v="31057 Roth Place"/>
    <x v="55"/>
    <s v="Fulfilled"/>
    <n v="2"/>
    <n v="31"/>
    <s v="Sufficient"/>
    <s v="Available"/>
  </r>
  <r>
    <s v="35-529-2933"/>
    <x v="50"/>
    <s v="Fruits &amp; Vegetables"/>
    <s v="Jabbersphere"/>
    <x v="42"/>
    <n v="54"/>
    <n v="18"/>
    <n v="4"/>
    <d v="2024-10-23T00:00:00"/>
    <s v="2 School Drive"/>
    <x v="1"/>
    <s v="Fulfilled"/>
    <n v="8"/>
    <n v="44"/>
    <s v="Sufficient"/>
    <s v="Available"/>
  </r>
  <r>
    <s v="83-321-7887"/>
    <x v="9"/>
    <s v="Dairy"/>
    <s v="Yombu"/>
    <x v="7"/>
    <n v="75"/>
    <n v="72"/>
    <n v="1"/>
    <d v="2024-11-29T00:00:00"/>
    <s v="35598 Fuller Terrace"/>
    <x v="40"/>
    <s v="Pending"/>
    <n v="1"/>
    <n v="38"/>
    <s v="Reoeder required"/>
    <s v="Available"/>
  </r>
  <r>
    <s v="43-910-2342"/>
    <x v="4"/>
    <s v="Fruits &amp; Vegetables"/>
    <s v="Feedspan"/>
    <x v="11"/>
    <n v="69"/>
    <n v="90"/>
    <n v="4"/>
    <d v="2024-06-08T00:00:00"/>
    <s v="46758 Hallows Center"/>
    <x v="11"/>
    <s v="Pending"/>
    <n v="8"/>
    <n v="35"/>
    <s v="Reoeder required"/>
    <s v="Available"/>
  </r>
  <r>
    <s v="21-633-8696"/>
    <x v="111"/>
    <s v="Grains &amp; Pulses"/>
    <s v="Topiclounge"/>
    <x v="16"/>
    <n v="59"/>
    <n v="73"/>
    <n v="5"/>
    <d v="2024-04-06T00:00:00"/>
    <s v="08492 Gateway Terrace"/>
    <x v="47"/>
    <s v="Pending"/>
    <n v="2"/>
    <n v="45"/>
    <s v="Reoeder required"/>
    <s v="Available"/>
  </r>
  <r>
    <s v="76-401-7083"/>
    <x v="75"/>
    <s v="Fruits &amp; Vegetables"/>
    <s v="Meeveo"/>
    <x v="43"/>
    <n v="79"/>
    <n v="87"/>
    <n v="6"/>
    <d v="2024-10-03T00:00:00"/>
    <s v="31892 Pennsylvania Street"/>
    <x v="11"/>
    <s v="Fulfilled"/>
    <n v="4"/>
    <n v="18"/>
    <s v="Reoeder required"/>
    <s v="Available"/>
  </r>
  <r>
    <s v="92-551-8504"/>
    <x v="21"/>
    <s v="Grains &amp; Pulses"/>
    <s v="Livepath"/>
    <x v="26"/>
    <n v="81"/>
    <n v="33"/>
    <n v="1.5"/>
    <d v="2025-02-22T00:00:00"/>
    <s v="461 Bluejay Circle"/>
    <x v="34"/>
    <s v="Pending"/>
    <n v="8"/>
    <n v="85"/>
    <s v="Reoeder required"/>
    <s v="Available"/>
  </r>
  <r>
    <s v="76-264-0748"/>
    <x v="51"/>
    <s v="Fruits &amp; Vegetables"/>
    <s v="Roombo"/>
    <x v="28"/>
    <n v="41"/>
    <n v="63"/>
    <n v="3"/>
    <d v="2024-06-01T00:00:00"/>
    <s v="55 Morning Terrace"/>
    <x v="34"/>
    <s v="Fulfilled"/>
    <n v="6"/>
    <n v="54"/>
    <s v="Sufficient"/>
    <s v="Available"/>
  </r>
  <r>
    <s v="88-586-8797"/>
    <x v="103"/>
    <s v="Fruits &amp; Vegetables"/>
    <s v="Edgewire"/>
    <x v="84"/>
    <n v="62"/>
    <n v="97"/>
    <n v="5.5"/>
    <d v="2024-08-25T00:00:00"/>
    <s v="9469 Bayside Plaza"/>
    <x v="22"/>
    <s v="Fulfilled"/>
    <n v="7"/>
    <n v="19"/>
    <s v="Sufficient"/>
    <s v="Available"/>
  </r>
  <r>
    <s v="21-993-5632"/>
    <x v="94"/>
    <s v="Fruits &amp; Vegetables"/>
    <s v="Innotype"/>
    <x v="37"/>
    <n v="72"/>
    <n v="85"/>
    <n v="3"/>
    <d v="2024-04-14T00:00:00"/>
    <s v="16730 Luster Alley"/>
    <x v="61"/>
    <s v="Fulfilled"/>
    <n v="8"/>
    <n v="17"/>
    <s v="Reoeder required"/>
    <s v="Available"/>
  </r>
  <r>
    <s v="27-681-5588"/>
    <x v="95"/>
    <s v="Seafood"/>
    <s v="Flipopia"/>
    <x v="46"/>
    <n v="99"/>
    <n v="8"/>
    <n v="10"/>
    <d v="2024-10-26T00:00:00"/>
    <s v="498 Delladonna Drive"/>
    <x v="46"/>
    <s v="Fulfilled"/>
    <n v="2"/>
    <n v="92"/>
    <s v="Sufficient"/>
    <s v="Available"/>
  </r>
  <r>
    <s v="23-265-8144"/>
    <x v="109"/>
    <s v="Dairy"/>
    <s v="Jaxnation"/>
    <x v="5"/>
    <n v="50"/>
    <n v="56"/>
    <n v="1.7"/>
    <d v="2024-11-09T00:00:00"/>
    <s v="14042 Dottie Avenue"/>
    <x v="4"/>
    <s v="Pending"/>
    <n v="3"/>
    <n v="26"/>
    <s v="Sufficient"/>
    <s v="Available"/>
  </r>
  <r>
    <s v="26-134-9069"/>
    <x v="68"/>
    <s v="Dairy"/>
    <s v="Devcast"/>
    <x v="39"/>
    <n v="87"/>
    <n v="8"/>
    <n v="4"/>
    <d v="2024-11-11T00:00:00"/>
    <s v="4929 Westend Point"/>
    <x v="54"/>
    <s v="Pending"/>
    <n v="3"/>
    <n v="14"/>
    <s v="Reoeder required"/>
    <s v="Available"/>
  </r>
  <r>
    <s v="76-623-7844"/>
    <x v="22"/>
    <s v="Dairy"/>
    <s v="Vinte"/>
    <x v="50"/>
    <n v="33"/>
    <n v="88"/>
    <n v="0.8"/>
    <d v="2024-08-23T00:00:00"/>
    <s v="868 Swallow Point"/>
    <x v="25"/>
    <s v="Pending"/>
    <n v="7"/>
    <n v="35"/>
    <s v="Reoeder required"/>
    <s v="Available"/>
  </r>
  <r>
    <s v="88-977-0175"/>
    <x v="61"/>
    <s v="Bakery"/>
    <s v="Yodo"/>
    <x v="46"/>
    <n v="1"/>
    <n v="26"/>
    <n v="5"/>
    <d v="2024-03-21T00:00:00"/>
    <s v="7561 5th Terrace"/>
    <x v="11"/>
    <s v="Fulfilled"/>
    <n v="7"/>
    <n v="79"/>
    <s v="Sufficient"/>
    <s v="Available"/>
  </r>
  <r>
    <s v="12-714-5135"/>
    <x v="47"/>
    <s v="Dairy"/>
    <s v="Janyx"/>
    <x v="16"/>
    <n v="28"/>
    <n v="74"/>
    <n v="6"/>
    <d v="2025-01-14T00:00:00"/>
    <s v="2003 Delladonna Pass"/>
    <x v="73"/>
    <s v="Pending"/>
    <n v="5"/>
    <n v="38"/>
    <s v="Sufficient"/>
    <s v="Available"/>
  </r>
  <r>
    <s v="43-153-8268"/>
    <x v="87"/>
    <s v="Oils &amp; Fats"/>
    <s v="Abata"/>
    <x v="31"/>
    <n v="61"/>
    <n v="19"/>
    <n v="2"/>
    <d v="2025-01-29T00:00:00"/>
    <s v="29815 Bonner Trail"/>
    <x v="33"/>
    <s v="Pending"/>
    <n v="4"/>
    <n v="69"/>
    <s v="Sufficient"/>
    <s v="Available"/>
  </r>
  <r>
    <s v="95-130-9020"/>
    <x v="52"/>
    <s v="Dairy"/>
    <s v="Youbridge"/>
    <x v="45"/>
    <n v="12"/>
    <n v="94"/>
    <n v="4.0999999999999996"/>
    <d v="2024-06-20T00:00:00"/>
    <s v="2 Canary Street"/>
    <x v="12"/>
    <s v="Fulfilled"/>
    <n v="4"/>
    <n v="93"/>
    <s v="Sufficient"/>
    <s v="Available"/>
  </r>
  <r>
    <s v="82-678-8097"/>
    <x v="67"/>
    <s v="Dairy"/>
    <s v="Feedmix"/>
    <x v="75"/>
    <n v="82"/>
    <n v="58"/>
    <n v="4.8"/>
    <d v="2024-08-24T00:00:00"/>
    <s v="6172 Hovde Circle"/>
    <x v="54"/>
    <s v="Pending"/>
    <n v="3"/>
    <n v="2"/>
    <s v="Reoeder required"/>
    <s v="Available"/>
  </r>
  <r>
    <s v="21-693-8216"/>
    <x v="6"/>
    <s v="Oils &amp; Fats"/>
    <s v="Twinte"/>
    <x v="67"/>
    <n v="96"/>
    <n v="85"/>
    <n v="2.5"/>
    <d v="2024-09-03T00:00:00"/>
    <s v="32468 Utah Pass"/>
    <x v="5"/>
    <s v="Fulfilled"/>
    <n v="2"/>
    <n v="3"/>
    <s v="Reoeder required"/>
    <s v="Available"/>
  </r>
  <r>
    <s v="56-831-6199"/>
    <x v="115"/>
    <s v="Seafood"/>
    <s v="Innojam"/>
    <x v="16"/>
    <n v="48"/>
    <n v="62"/>
    <n v="15"/>
    <d v="2024-02-25T00:00:00"/>
    <s v="1247 Hoard Hill"/>
    <x v="40"/>
    <s v="Pending"/>
    <n v="7"/>
    <n v="37"/>
    <s v="Sufficient"/>
    <s v="Available"/>
  </r>
  <r>
    <s v="81-268-5905"/>
    <x v="101"/>
    <s v="Seafood"/>
    <s v="Kazio"/>
    <x v="52"/>
    <n v="26"/>
    <n v="36"/>
    <n v="7.5"/>
    <d v="2024-07-30T00:00:00"/>
    <s v="85953 Clyde Gallagher Drive"/>
    <x v="67"/>
    <s v="Fulfilled"/>
    <n v="8"/>
    <n v="94"/>
    <s v="Sufficient"/>
    <s v="Available"/>
  </r>
  <r>
    <s v="41-237-5498"/>
    <x v="62"/>
    <s v="Dairy"/>
    <s v="Omba"/>
    <x v="20"/>
    <n v="53"/>
    <n v="44"/>
    <n v="9"/>
    <d v="2024-12-24T00:00:00"/>
    <s v="29817 Coleman Drive"/>
    <x v="8"/>
    <s v="Fulfilled"/>
    <n v="4"/>
    <n v="14"/>
    <s v="Sufficient"/>
    <s v="Available"/>
  </r>
  <r>
    <s v="32-987-5559"/>
    <x v="85"/>
    <s v="Beverages"/>
    <s v="Zoovu"/>
    <x v="30"/>
    <n v="88"/>
    <n v="100"/>
    <n v="8"/>
    <d v="2025-01-30T00:00:00"/>
    <s v="7 Hallows Alley"/>
    <x v="64"/>
    <s v="Fulfilled"/>
    <n v="4"/>
    <n v="18"/>
    <s v="Reoeder required"/>
    <s v="Available"/>
  </r>
  <r>
    <s v="71-436-5841"/>
    <x v="78"/>
    <s v="Fruits &amp; Vegetables"/>
    <s v="Dynabox"/>
    <x v="89"/>
    <n v="91"/>
    <n v="94"/>
    <n v="2.5"/>
    <d v="2024-09-25T00:00:00"/>
    <s v="52 Victoria Plaza"/>
    <x v="11"/>
    <s v="Fulfilled"/>
    <n v="3"/>
    <n v="4"/>
    <s v="Reoeder required"/>
    <s v="Available"/>
  </r>
  <r>
    <s v="63-890-1246"/>
    <x v="24"/>
    <s v="Bakery"/>
    <s v="Vidoo"/>
    <x v="81"/>
    <n v="50"/>
    <n v="43"/>
    <n v="5"/>
    <d v="2024-05-16T00:00:00"/>
    <s v="3 Melrose Trail"/>
    <x v="50"/>
    <s v="Fulfilled"/>
    <n v="5"/>
    <n v="35"/>
    <s v="Sufficient"/>
    <s v="Available"/>
  </r>
  <r>
    <s v="65-368-2479"/>
    <x v="89"/>
    <s v="Dairy"/>
    <s v="Browsedrive"/>
    <x v="65"/>
    <n v="21"/>
    <n v="59"/>
    <n v="2.4"/>
    <d v="2024-03-10T00:00:00"/>
    <s v="231 Merry Pass"/>
    <x v="68"/>
    <s v="Pending"/>
    <n v="8"/>
    <n v="8"/>
    <s v="Sufficient"/>
    <s v="Available"/>
  </r>
  <r>
    <s v="74-562-7431"/>
    <x v="113"/>
    <s v="Bakery"/>
    <s v="Linkbridge"/>
    <x v="14"/>
    <n v="34"/>
    <n v="21"/>
    <n v="5.5"/>
    <d v="2024-03-20T00:00:00"/>
    <s v="79 Ronald Regan Avenue"/>
    <x v="49"/>
    <s v="Fulfilled"/>
    <n v="4"/>
    <n v="70"/>
    <s v="Sufficient"/>
    <s v="Available"/>
  </r>
  <r>
    <s v="51-583-6029"/>
    <x v="99"/>
    <s v="Bakery"/>
    <s v="Kanoodle"/>
    <x v="54"/>
    <n v="43"/>
    <n v="91"/>
    <n v="4"/>
    <d v="2024-08-18T00:00:00"/>
    <s v="83894 Delaware Plaza"/>
    <x v="53"/>
    <s v="Pending"/>
    <n v="3"/>
    <n v="64"/>
    <s v="Reoeder required"/>
    <s v="Available"/>
  </r>
  <r>
    <s v="06-996-3221"/>
    <x v="107"/>
    <s v="Dairy"/>
    <s v="Buzzshare"/>
    <x v="73"/>
    <n v="9"/>
    <n v="65"/>
    <n v="2"/>
    <d v="2024-12-04T00:00:00"/>
    <s v="579 Schlimgen Alley"/>
    <x v="67"/>
    <s v="Pending"/>
    <n v="6"/>
    <n v="96"/>
    <s v="Sufficient"/>
    <s v="Available"/>
  </r>
  <r>
    <s v="96-334-2593"/>
    <x v="48"/>
    <s v="Beverages"/>
    <s v="Rhycero"/>
    <x v="34"/>
    <n v="27"/>
    <n v="58"/>
    <n v="25.3"/>
    <d v="2024-06-27T00:00:00"/>
    <s v="9559 Muir Trail"/>
    <x v="31"/>
    <s v="Fulfilled"/>
    <n v="7"/>
    <n v="91"/>
    <s v="Sufficient"/>
    <s v="Available"/>
  </r>
  <r>
    <s v="58-219-0241"/>
    <x v="80"/>
    <s v="Oils &amp; Fats"/>
    <s v="Twitterwire"/>
    <x v="74"/>
    <n v="36"/>
    <n v="81"/>
    <n v="10"/>
    <d v="2024-05-12T00:00:00"/>
    <s v="938 Garrison Court"/>
    <x v="9"/>
    <s v="Fulfilled"/>
    <n v="5"/>
    <n v="6"/>
    <s v="Sufficient"/>
    <s v="Available"/>
  </r>
  <r>
    <s v="87-272-6544"/>
    <x v="7"/>
    <s v="Dairy"/>
    <s v="Skalith"/>
    <x v="82"/>
    <n v="3"/>
    <n v="49"/>
    <n v="2.5"/>
    <d v="2024-05-03T00:00:00"/>
    <s v="4 Nelson Alley"/>
    <x v="32"/>
    <s v="Fulfilled"/>
    <n v="5"/>
    <n v="87"/>
    <s v="Sufficient"/>
    <s v="Available"/>
  </r>
  <r>
    <s v="95-357-2870"/>
    <x v="54"/>
    <s v="Grains &amp; Pulses"/>
    <s v="Talane"/>
    <x v="66"/>
    <n v="80"/>
    <n v="80"/>
    <n v="4.5"/>
    <d v="2024-05-13T00:00:00"/>
    <s v="87 Corben Street"/>
    <x v="70"/>
    <s v="Fulfilled"/>
    <n v="3"/>
    <n v="67"/>
    <s v="Sufficient"/>
    <s v="Available"/>
  </r>
  <r>
    <s v="88-401-3700"/>
    <x v="78"/>
    <s v="Fruits &amp; Vegetables"/>
    <s v="Jabberstorm"/>
    <x v="66"/>
    <n v="66"/>
    <n v="24"/>
    <n v="2.5"/>
    <d v="2025-02-04T00:00:00"/>
    <s v="39014 Randy Court"/>
    <x v="43"/>
    <s v="Fulfilled"/>
    <n v="4"/>
    <n v="6"/>
    <s v="Sufficient"/>
    <s v="Available"/>
  </r>
  <r>
    <s v="72-404-5581"/>
    <x v="69"/>
    <s v="Grains &amp; Pulses"/>
    <s v="Pixonyx"/>
    <x v="13"/>
    <n v="17"/>
    <n v="90"/>
    <n v="9.5"/>
    <d v="2024-08-07T00:00:00"/>
    <s v="879 Amoth Terrace"/>
    <x v="30"/>
    <s v="Pending"/>
    <n v="3"/>
    <n v="20"/>
    <s v="Sufficient"/>
    <s v="Available"/>
  </r>
  <r>
    <s v="11-766-8738"/>
    <x v="94"/>
    <s v="Fruits &amp; Vegetables"/>
    <s v="Jabbersphere"/>
    <x v="15"/>
    <n v="64"/>
    <n v="43"/>
    <n v="3"/>
    <d v="2024-11-30T00:00:00"/>
    <s v="20 Nelson Way"/>
    <x v="73"/>
    <s v="Pending"/>
    <n v="4"/>
    <n v="58"/>
    <s v="Reoeder required"/>
    <s v="Available"/>
  </r>
  <r>
    <s v="15-796-3130"/>
    <x v="11"/>
    <s v="Bakery"/>
    <s v="Kwilith"/>
    <x v="74"/>
    <n v="58"/>
    <n v="78"/>
    <n v="3"/>
    <d v="2024-04-17T00:00:00"/>
    <s v="85 Lunder Court"/>
    <x v="48"/>
    <s v="Pending"/>
    <n v="8"/>
    <n v="49"/>
    <s v="Reoeder required"/>
    <s v="Available"/>
  </r>
  <r>
    <s v="73-751-4393"/>
    <x v="31"/>
    <s v="Fruits &amp; Vegetables"/>
    <s v="Skyndu"/>
    <x v="75"/>
    <n v="10"/>
    <n v="29"/>
    <n v="2"/>
    <d v="2024-06-07T00:00:00"/>
    <s v="03 Roth Court"/>
    <x v="36"/>
    <s v="Fulfilled"/>
    <n v="7"/>
    <n v="11"/>
    <s v="Sufficient"/>
    <s v="Available"/>
  </r>
  <r>
    <s v="62-100-2245"/>
    <x v="40"/>
    <s v="Bakery"/>
    <s v="Meevee"/>
    <x v="0"/>
    <n v="60"/>
    <n v="73"/>
    <n v="4.2"/>
    <d v="2024-11-08T00:00:00"/>
    <s v="56830 Fremont Road"/>
    <x v="4"/>
    <s v="Pending"/>
    <n v="2"/>
    <n v="3"/>
    <s v="Reoeder required"/>
    <s v="Available"/>
  </r>
  <r>
    <s v="08-961-3009"/>
    <x v="62"/>
    <s v="Dairy"/>
    <s v="Eimbee"/>
    <x v="74"/>
    <n v="14"/>
    <n v="6"/>
    <n v="9.1999999999999993"/>
    <d v="2024-12-19T00:00:00"/>
    <s v="01 Gateway Plaza"/>
    <x v="30"/>
    <s v="Pending"/>
    <n v="2"/>
    <n v="72"/>
    <s v="Sufficient"/>
    <s v="Available"/>
  </r>
  <r>
    <s v="33-440-2588"/>
    <x v="53"/>
    <s v="Fruits &amp; Vegetables"/>
    <s v="Tagpad"/>
    <x v="11"/>
    <n v="12"/>
    <n v="43"/>
    <n v="4.4000000000000004"/>
    <d v="2024-09-16T00:00:00"/>
    <s v="4 6th Plaza"/>
    <x v="21"/>
    <s v="Pending"/>
    <n v="8"/>
    <n v="20"/>
    <s v="Sufficient"/>
    <s v="Available"/>
  </r>
  <r>
    <s v="24-009-1208"/>
    <x v="48"/>
    <s v="Beverages"/>
    <s v="Aivee"/>
    <x v="10"/>
    <n v="31"/>
    <n v="24"/>
    <n v="25"/>
    <d v="2024-06-10T00:00:00"/>
    <s v="99 Duke Lane"/>
    <x v="72"/>
    <s v="Pending"/>
    <n v="2"/>
    <n v="100"/>
    <s v="Sufficient"/>
    <s v="Available"/>
  </r>
  <r>
    <s v="71-300-2191"/>
    <x v="50"/>
    <s v="Fruits &amp; Vegetables"/>
    <s v="Yamia"/>
    <x v="70"/>
    <n v="72"/>
    <n v="6"/>
    <n v="4"/>
    <d v="2024-05-06T00:00:00"/>
    <s v="7 Heffernan Drive"/>
    <x v="6"/>
    <s v="Fulfilled"/>
    <n v="3"/>
    <n v="63"/>
    <s v="Sufficient"/>
    <s v="Available"/>
  </r>
  <r>
    <s v="74-430-8245"/>
    <x v="76"/>
    <s v="Fruits &amp; Vegetables"/>
    <s v="Ainyx"/>
    <x v="49"/>
    <n v="90"/>
    <n v="77"/>
    <n v="4"/>
    <d v="2024-08-15T00:00:00"/>
    <s v="7 Roxbury Circle"/>
    <x v="71"/>
    <s v="Pending"/>
    <n v="5"/>
    <n v="19"/>
    <s v="Reoeder required"/>
    <s v="Available"/>
  </r>
  <r>
    <s v="68-636-4774"/>
    <x v="45"/>
    <s v="Fruits &amp; Vegetables"/>
    <s v="Gevee"/>
    <x v="27"/>
    <n v="50"/>
    <n v="77"/>
    <n v="1.45"/>
    <d v="2024-08-30T00:00:00"/>
    <s v="7744 Oxford Pass"/>
    <x v="37"/>
    <s v="Pending"/>
    <n v="6"/>
    <n v="19"/>
    <s v="Reoeder required"/>
    <s v="Available"/>
  </r>
  <r>
    <s v="38-655-2312"/>
    <x v="100"/>
    <s v="Fruits &amp; Vegetables"/>
    <s v="Dabshots"/>
    <x v="70"/>
    <n v="74"/>
    <n v="87"/>
    <n v="4"/>
    <d v="2024-04-09T00:00:00"/>
    <s v="17 Reinke Circle"/>
    <x v="62"/>
    <s v="Pending"/>
    <n v="7"/>
    <n v="26"/>
    <s v="Sufficient"/>
    <s v="Available"/>
  </r>
  <r>
    <s v="16-632-1308"/>
    <x v="1"/>
    <s v="Beverages"/>
    <s v="Voonyx"/>
    <x v="65"/>
    <n v="13"/>
    <n v="15"/>
    <n v="20"/>
    <d v="2024-05-21T00:00:00"/>
    <s v="60094 Goodland Junction"/>
    <x v="2"/>
    <s v="Pending"/>
    <n v="3"/>
    <n v="28"/>
    <s v="Sufficient"/>
    <s v="Available"/>
  </r>
  <r>
    <s v="37-606-0510"/>
    <x v="102"/>
    <s v="Dairy"/>
    <s v="Jabbercube"/>
    <x v="27"/>
    <n v="64"/>
    <n v="86"/>
    <n v="1"/>
    <d v="2024-06-09T00:00:00"/>
    <s v="53 Homewood Alley"/>
    <x v="21"/>
    <s v="Pending"/>
    <n v="4"/>
    <n v="38"/>
    <s v="Reoeder required"/>
    <s v="Available"/>
  </r>
  <r>
    <s v="36-296-9609"/>
    <x v="97"/>
    <s v="Oils &amp; Fats"/>
    <s v="Photofeed"/>
    <x v="35"/>
    <n v="35"/>
    <n v="14"/>
    <n v="2.5"/>
    <d v="2024-06-24T00:00:00"/>
    <s v="7 Rutledge Pass"/>
    <x v="56"/>
    <s v="Pending"/>
    <n v="7"/>
    <n v="71"/>
    <s v="Reoeder required"/>
    <s v="Available"/>
  </r>
  <r>
    <s v="22-329-7791"/>
    <x v="94"/>
    <s v="Fruits &amp; Vegetables"/>
    <s v="Eidel"/>
    <x v="58"/>
    <n v="41"/>
    <n v="30"/>
    <n v="3"/>
    <d v="2025-01-13T00:00:00"/>
    <s v="50687 Porter Park"/>
    <x v="38"/>
    <s v="Fulfilled"/>
    <n v="6"/>
    <n v="77"/>
    <s v="Sufficient"/>
    <s v="Available"/>
  </r>
  <r>
    <s v="56-894-3733"/>
    <x v="109"/>
    <s v="Dairy"/>
    <s v="Skinte"/>
    <x v="42"/>
    <n v="83"/>
    <n v="13"/>
    <n v="1.75"/>
    <d v="2024-03-17T00:00:00"/>
    <s v="897 Independence Circle"/>
    <x v="65"/>
    <s v="Fulfilled"/>
    <n v="2"/>
    <n v="75"/>
    <s v="Sufficient"/>
    <s v="Available"/>
  </r>
  <r>
    <s v="06-858-5680"/>
    <x v="90"/>
    <s v="Oils &amp; Fats"/>
    <s v="Miboo"/>
    <x v="72"/>
    <n v="34"/>
    <n v="57"/>
    <n v="6.5"/>
    <d v="2025-01-12T00:00:00"/>
    <s v="49476 Tony Hill"/>
    <x v="65"/>
    <s v="Pending"/>
    <n v="1"/>
    <n v="96"/>
    <s v="Reoeder required"/>
    <s v="Available"/>
  </r>
  <r>
    <s v="71-954-4501"/>
    <x v="95"/>
    <s v="Seafood"/>
    <s v="Quatz"/>
    <x v="57"/>
    <n v="49"/>
    <n v="41"/>
    <n v="10"/>
    <d v="2024-10-08T00:00:00"/>
    <s v="290 Rusk Avenue"/>
    <x v="9"/>
    <s v="Fulfilled"/>
    <n v="8"/>
    <n v="37"/>
    <s v="Sufficient"/>
    <s v="Available"/>
  </r>
  <r>
    <s v="12-046-2988"/>
    <x v="6"/>
    <s v="Oils &amp; Fats"/>
    <s v="Youbridge"/>
    <x v="85"/>
    <n v="63"/>
    <n v="66"/>
    <n v="2.5"/>
    <d v="2025-01-24T00:00:00"/>
    <s v="931 Browning Center"/>
    <x v="61"/>
    <s v="Pending"/>
    <n v="1"/>
    <n v="46"/>
    <s v="Reoeder required"/>
    <s v="Available"/>
  </r>
  <r>
    <s v="95-356-1566"/>
    <x v="103"/>
    <s v="Fruits &amp; Vegetables"/>
    <s v="Rhynyx"/>
    <x v="48"/>
    <n v="61"/>
    <n v="77"/>
    <n v="5.5"/>
    <d v="2025-02-21T00:00:00"/>
    <s v="622 Buena Vista Trail"/>
    <x v="27"/>
    <s v="Pending"/>
    <n v="5"/>
    <n v="18"/>
    <s v="Reoeder required"/>
    <s v="Available"/>
  </r>
  <r>
    <s v="34-291-4939"/>
    <x v="99"/>
    <s v="Bakery"/>
    <s v="Eimbee"/>
    <x v="68"/>
    <n v="49"/>
    <n v="27"/>
    <n v="4"/>
    <d v="2024-11-24T00:00:00"/>
    <s v="983 Sommers Circle"/>
    <x v="16"/>
    <s v="Pending"/>
    <n v="6"/>
    <n v="20"/>
    <s v="Reoeder required"/>
    <s v="Available"/>
  </r>
  <r>
    <s v="35-621-2546"/>
    <x v="15"/>
    <s v="Dairy"/>
    <s v="Skiptube"/>
    <x v="42"/>
    <n v="89"/>
    <n v="41"/>
    <n v="8"/>
    <d v="2024-04-07T00:00:00"/>
    <s v="3 Fairfield Center"/>
    <x v="58"/>
    <s v="Fulfilled"/>
    <n v="7"/>
    <n v="93"/>
    <s v="Reoeder required"/>
    <s v="Available"/>
  </r>
  <r>
    <s v="21-013-3508"/>
    <x v="19"/>
    <s v="Fruits &amp; Vegetables"/>
    <s v="Meevee"/>
    <x v="3"/>
    <n v="95"/>
    <n v="49"/>
    <n v="1"/>
    <d v="2024-06-13T00:00:00"/>
    <s v="84305 Fair Oaks Plaza"/>
    <x v="28"/>
    <s v="Pending"/>
    <n v="3"/>
    <n v="23"/>
    <s v="Reoeder required"/>
    <s v="Available"/>
  </r>
  <r>
    <s v="38-049-9319"/>
    <x v="24"/>
    <s v="Bakery"/>
    <s v="Trunyx"/>
    <x v="45"/>
    <n v="6"/>
    <n v="53"/>
    <n v="5"/>
    <d v="2024-04-29T00:00:00"/>
    <s v="6 Lillian Junction"/>
    <x v="7"/>
    <s v="Fulfilled"/>
    <n v="6"/>
    <n v="58"/>
    <s v="Sufficient"/>
    <s v="Available"/>
  </r>
  <r>
    <s v="94-697-2396"/>
    <x v="40"/>
    <s v="Bakery"/>
    <s v="Zoomlounge"/>
    <x v="86"/>
    <n v="97"/>
    <n v="44"/>
    <n v="4"/>
    <d v="2024-02-26T00:00:00"/>
    <s v="44 Thompson Terrace"/>
    <x v="63"/>
    <s v="Fulfilled"/>
    <n v="3"/>
    <n v="14"/>
    <s v="Reoeder required"/>
    <s v="Available"/>
  </r>
  <r>
    <s v="33-807-7247"/>
    <x v="49"/>
    <s v="Dairy"/>
    <s v="Blogspan"/>
    <x v="62"/>
    <n v="17"/>
    <n v="26"/>
    <n v="7"/>
    <d v="2024-07-07T00:00:00"/>
    <s v="63464 Jana Court"/>
    <x v="4"/>
    <s v="Pending"/>
    <n v="6"/>
    <n v="89"/>
    <s v="Sufficient"/>
    <s v="Available"/>
  </r>
  <r>
    <s v="62-816-8794"/>
    <x v="66"/>
    <s v="Grains &amp; Pulses"/>
    <s v="Photobug"/>
    <x v="72"/>
    <n v="76"/>
    <n v="81"/>
    <n v="2"/>
    <d v="2024-06-17T00:00:00"/>
    <s v="04 Blaine Lane"/>
    <x v="54"/>
    <s v="Pending"/>
    <n v="8"/>
    <n v="26"/>
    <s v="Reoeder required"/>
    <s v="Available"/>
  </r>
  <r>
    <s v="33-507-9886"/>
    <x v="27"/>
    <s v="Fruits &amp; Vegetables"/>
    <s v="Quinu"/>
    <x v="75"/>
    <n v="25"/>
    <n v="16"/>
    <n v="3.5"/>
    <d v="2024-08-19T00:00:00"/>
    <s v="0584 Lindbergh Alley"/>
    <x v="28"/>
    <s v="Fulfilled"/>
    <n v="6"/>
    <n v="83"/>
    <s v="Sufficient"/>
    <s v="Available"/>
  </r>
  <r>
    <s v="40-003-7322"/>
    <x v="10"/>
    <s v="Grains &amp; Pulses"/>
    <s v="Wordtune"/>
    <x v="48"/>
    <n v="32"/>
    <n v="79"/>
    <n v="2"/>
    <d v="2025-02-16T00:00:00"/>
    <s v="2693 6th Court"/>
    <x v="39"/>
    <s v="Pending"/>
    <n v="6"/>
    <n v="61"/>
    <s v="Reoeder required"/>
    <s v="Available"/>
  </r>
  <r>
    <s v="95-090-2788"/>
    <x v="90"/>
    <s v="Oils &amp; Fats"/>
    <s v="Dabtype"/>
    <x v="1"/>
    <n v="7"/>
    <n v="58"/>
    <n v="6.5"/>
    <d v="2024-04-05T00:00:00"/>
    <s v="0313 Rockefeller Street"/>
    <x v="52"/>
    <s v="Pending"/>
    <n v="5"/>
    <n v="77"/>
    <s v="Sufficient"/>
    <s v="Available"/>
  </r>
  <r>
    <s v="06-503-5891"/>
    <x v="7"/>
    <s v="Dairy"/>
    <s v="Babblestorm"/>
    <x v="69"/>
    <n v="22"/>
    <n v="74"/>
    <n v="2.4500000000000002"/>
    <d v="2024-09-23T00:00:00"/>
    <s v="49646 Derek Lane"/>
    <x v="50"/>
    <s v="Pending"/>
    <n v="3"/>
    <n v="70"/>
    <s v="Sufficient"/>
    <s v="Available"/>
  </r>
  <r>
    <s v="38-555-9147"/>
    <x v="36"/>
    <s v="Beverages"/>
    <s v="Aimbu"/>
    <x v="10"/>
    <n v="23"/>
    <n v="25"/>
    <n v="15.5"/>
    <d v="2024-04-29T00:00:00"/>
    <s v="0 Oneill Hill"/>
    <x v="5"/>
    <s v="Fulfilled"/>
    <n v="7"/>
    <n v="68"/>
    <s v="Sufficient"/>
    <s v="Available"/>
  </r>
  <r>
    <s v="64-854-8664"/>
    <x v="59"/>
    <s v="Oils &amp; Fats"/>
    <s v="Pixoboo"/>
    <x v="70"/>
    <n v="3"/>
    <n v="36"/>
    <n v="4"/>
    <d v="2025-01-25T00:00:00"/>
    <s v="76 Independence Drive"/>
    <x v="17"/>
    <s v="Fulfilled"/>
    <n v="3"/>
    <n v="29"/>
    <s v="Sufficient"/>
    <s v="Available"/>
  </r>
  <r>
    <s v="50-942-2409"/>
    <x v="57"/>
    <s v="Fruits &amp; Vegetables"/>
    <s v="Meedoo"/>
    <x v="31"/>
    <n v="91"/>
    <n v="68"/>
    <n v="3"/>
    <d v="2024-04-23T00:00:00"/>
    <s v="7182 Summit Court"/>
    <x v="40"/>
    <s v="Pending"/>
    <n v="1"/>
    <n v="73"/>
    <s v="Reoeder required"/>
    <s v="Available"/>
  </r>
  <r>
    <s v="17-493-4579"/>
    <x v="69"/>
    <s v="Grains &amp; Pulses"/>
    <s v="Trudoo"/>
    <x v="77"/>
    <n v="8"/>
    <n v="2"/>
    <n v="9.5"/>
    <d v="2024-11-08T00:00:00"/>
    <s v="4627 Amoth Circle"/>
    <x v="38"/>
    <s v="Fulfilled"/>
    <n v="6"/>
    <n v="53"/>
    <s v="Sufficient"/>
    <s v="Available"/>
  </r>
  <r>
    <s v="10-854-5467"/>
    <x v="79"/>
    <s v="Oils &amp; Fats"/>
    <s v="Realcube"/>
    <x v="6"/>
    <n v="51"/>
    <n v="40"/>
    <n v="2.2999999999999998"/>
    <d v="2024-05-04T00:00:00"/>
    <s v="3 Oakridge Parkway"/>
    <x v="26"/>
    <s v="Fulfilled"/>
    <n v="7"/>
    <n v="4"/>
    <s v="Sufficient"/>
    <s v="Available"/>
  </r>
  <r>
    <s v="11-604-6002"/>
    <x v="79"/>
    <s v="Oils &amp; Fats"/>
    <s v="Kimia"/>
    <x v="79"/>
    <n v="17"/>
    <n v="27"/>
    <n v="2.2999999999999998"/>
    <d v="2024-06-18T00:00:00"/>
    <s v="17640 Cottonwood Place"/>
    <x v="33"/>
    <s v="Pending"/>
    <n v="1"/>
    <n v="75"/>
    <s v="Sufficient"/>
    <s v="Available"/>
  </r>
  <r>
    <s v="44-305-1866"/>
    <x v="37"/>
    <s v="Dairy"/>
    <s v="Jayo"/>
    <x v="32"/>
    <n v="71"/>
    <n v="86"/>
    <n v="3"/>
    <d v="2024-07-02T00:00:00"/>
    <s v="51205 Rieder Junction"/>
    <x v="3"/>
    <s v="Pending"/>
    <n v="2"/>
    <n v="3"/>
    <s v="Reoeder required"/>
    <s v="Available"/>
  </r>
  <r>
    <s v="49-730-0159"/>
    <x v="58"/>
    <s v="Dairy"/>
    <s v="Riffpedia"/>
    <x v="45"/>
    <n v="3"/>
    <n v="82"/>
    <n v="2.4"/>
    <d v="2024-12-10T00:00:00"/>
    <s v="09189 2nd Drive"/>
    <x v="67"/>
    <s v="Fulfilled"/>
    <n v="8"/>
    <n v="31"/>
    <s v="Sufficient"/>
    <s v="Available"/>
  </r>
  <r>
    <s v="70-534-7796"/>
    <x v="32"/>
    <s v="Fruits &amp; Vegetables"/>
    <s v="Babblestorm"/>
    <x v="9"/>
    <n v="21"/>
    <n v="31"/>
    <n v="2.5"/>
    <d v="2024-06-25T00:00:00"/>
    <s v="76106 Anthes Junction"/>
    <x v="70"/>
    <s v="Fulfilled"/>
    <n v="2"/>
    <n v="25"/>
    <s v="Sufficient"/>
    <s v="Available"/>
  </r>
  <r>
    <s v="95-738-4658"/>
    <x v="43"/>
    <s v="Beverages"/>
    <s v="Skyndu"/>
    <x v="82"/>
    <n v="68"/>
    <n v="74"/>
    <n v="12"/>
    <d v="2024-11-26T00:00:00"/>
    <s v="35 Golf Course Alley"/>
    <x v="68"/>
    <s v="Fulfilled"/>
    <n v="6"/>
    <n v="26"/>
    <s v="Sufficient"/>
    <s v="Available"/>
  </r>
  <r>
    <s v="20-405-4865"/>
    <x v="102"/>
    <s v="Dairy"/>
    <s v="Centimia"/>
    <x v="48"/>
    <n v="39"/>
    <n v="98"/>
    <n v="0.9"/>
    <d v="2024-11-05T00:00:00"/>
    <s v="36483 Burning Wood Pass"/>
    <x v="17"/>
    <s v="Pending"/>
    <n v="6"/>
    <n v="46"/>
    <s v="Reoeder required"/>
    <s v="Available"/>
  </r>
  <r>
    <s v="79-428-8753"/>
    <x v="19"/>
    <s v="Fruits &amp; Vegetables"/>
    <s v="Skivee"/>
    <x v="10"/>
    <n v="79"/>
    <n v="95"/>
    <n v="1"/>
    <d v="2024-07-06T00:00:00"/>
    <s v="9 Holmberg Circle"/>
    <x v="5"/>
    <s v="Fulfilled"/>
    <n v="2"/>
    <n v="12"/>
    <s v="Reoeder required"/>
    <s v="Available"/>
  </r>
  <r>
    <s v="10-626-8536"/>
    <x v="111"/>
    <s v="Grains &amp; Pulses"/>
    <s v="Lazz"/>
    <x v="85"/>
    <n v="85"/>
    <n v="74"/>
    <n v="5"/>
    <d v="2025-01-29T00:00:00"/>
    <s v="38583 2nd Pass"/>
    <x v="50"/>
    <s v="Pending"/>
    <n v="6"/>
    <n v="89"/>
    <s v="Reoeder required"/>
    <s v="Available"/>
  </r>
  <r>
    <s v="27-216-9671"/>
    <x v="90"/>
    <s v="Oils &amp; Fats"/>
    <s v="Skilith"/>
    <x v="46"/>
    <n v="86"/>
    <n v="94"/>
    <n v="6.5"/>
    <d v="2024-04-12T00:00:00"/>
    <s v="4 Browning Terrace"/>
    <x v="76"/>
    <s v="Fulfilled"/>
    <n v="5"/>
    <n v="57"/>
    <s v="Sufficient"/>
    <s v="Available"/>
  </r>
  <r>
    <s v="14-489-8669"/>
    <x v="5"/>
    <s v="Grains &amp; Pulses"/>
    <s v="Wikibox"/>
    <x v="13"/>
    <n v="69"/>
    <n v="68"/>
    <n v="1.75"/>
    <d v="2024-11-05T00:00:00"/>
    <s v="21629 Burrows Pass"/>
    <x v="76"/>
    <s v="Pending"/>
    <n v="8"/>
    <n v="56"/>
    <s v="Reoeder required"/>
    <s v="Available"/>
  </r>
  <r>
    <s v="46-632-8420"/>
    <x v="68"/>
    <s v="Dairy"/>
    <s v="Skippad"/>
    <x v="84"/>
    <n v="24"/>
    <n v="4"/>
    <n v="4.0999999999999996"/>
    <d v="2024-12-21T00:00:00"/>
    <s v="9 Meadow Ridge Center"/>
    <x v="72"/>
    <s v="Fulfilled"/>
    <n v="1"/>
    <n v="80"/>
    <s v="Sufficient"/>
    <s v="Available"/>
  </r>
  <r>
    <s v="39-192-3521"/>
    <x v="29"/>
    <s v="Beverages"/>
    <s v="Dynazzy"/>
    <x v="53"/>
    <n v="9"/>
    <n v="12"/>
    <n v="30.5"/>
    <d v="2025-02-22T00:00:00"/>
    <s v="428 Oriole Avenue"/>
    <x v="17"/>
    <s v="Pending"/>
    <n v="2"/>
    <n v="32"/>
    <s v="Sufficient"/>
    <s v="Available"/>
  </r>
  <r>
    <s v="94-528-8088"/>
    <x v="30"/>
    <s v="Seafood"/>
    <s v="Zoovu"/>
    <x v="9"/>
    <n v="7"/>
    <n v="63"/>
    <n v="9"/>
    <d v="2024-07-24T00:00:00"/>
    <s v="21379 Stoughton Junction"/>
    <x v="15"/>
    <s v="Pending"/>
    <n v="2"/>
    <n v="71"/>
    <s v="Sufficient"/>
    <s v="Available"/>
  </r>
  <r>
    <s v="74-305-1263"/>
    <x v="43"/>
    <s v="Beverages"/>
    <s v="Photobean"/>
    <x v="50"/>
    <n v="91"/>
    <n v="48"/>
    <n v="12"/>
    <d v="2024-07-10T00:00:00"/>
    <s v="744 Lakewood Gardens Crossing"/>
    <x v="64"/>
    <s v="Fulfilled"/>
    <n v="1"/>
    <n v="40"/>
    <s v="Reoeder required"/>
    <s v="Available"/>
  </r>
  <r>
    <s v="53-151-5726"/>
    <x v="103"/>
    <s v="Fruits &amp; Vegetables"/>
    <s v="Flipopia"/>
    <x v="4"/>
    <n v="45"/>
    <n v="62"/>
    <n v="5.5"/>
    <d v="2025-01-12T00:00:00"/>
    <s v="84239 Meadow Vale Trail"/>
    <x v="5"/>
    <s v="Fulfilled"/>
    <n v="2"/>
    <n v="23"/>
    <s v="Reoeder required"/>
    <s v="Available"/>
  </r>
  <r>
    <s v="02-085-7218"/>
    <x v="88"/>
    <s v="Dairy"/>
    <s v="Oyonder"/>
    <x v="42"/>
    <n v="28"/>
    <n v="32"/>
    <n v="8.9"/>
    <d v="2024-06-25T00:00:00"/>
    <s v="2835 Schlimgen Parkway"/>
    <x v="42"/>
    <s v="Fulfilled"/>
    <n v="1"/>
    <n v="41"/>
    <s v="Sufficient"/>
    <s v="Available"/>
  </r>
  <r>
    <s v="77-777-4536"/>
    <x v="96"/>
    <s v="Grains &amp; Pulses"/>
    <s v="Skidoo"/>
    <x v="11"/>
    <n v="67"/>
    <n v="46"/>
    <n v="4.4000000000000004"/>
    <d v="2024-09-12T00:00:00"/>
    <s v="4784 Farmco Alley"/>
    <x v="46"/>
    <s v="Pending"/>
    <n v="2"/>
    <n v="46"/>
    <s v="Reoeder required"/>
    <s v="Available"/>
  </r>
  <r>
    <s v="86-482-6451"/>
    <x v="48"/>
    <s v="Beverages"/>
    <s v="Brightbean"/>
    <x v="8"/>
    <n v="78"/>
    <n v="61"/>
    <n v="25"/>
    <d v="2024-10-27T00:00:00"/>
    <s v="5501 Fuller Way"/>
    <x v="13"/>
    <s v="Fulfilled"/>
    <n v="1"/>
    <n v="15"/>
    <s v="Sufficient"/>
    <s v="Available"/>
  </r>
  <r>
    <s v="36-127-4273"/>
    <x v="47"/>
    <s v="Dairy"/>
    <s v="Skimia"/>
    <x v="74"/>
    <n v="46"/>
    <n v="38"/>
    <n v="6.2"/>
    <d v="2024-07-03T00:00:00"/>
    <s v="10342 Division Place"/>
    <x v="74"/>
    <s v="Pending"/>
    <n v="6"/>
    <n v="70"/>
    <s v="Sufficient"/>
    <s v="Available"/>
  </r>
  <r>
    <s v="03-061-1344"/>
    <x v="17"/>
    <s v="Seafood"/>
    <s v="Izio"/>
    <x v="84"/>
    <n v="65"/>
    <n v="76"/>
    <n v="12"/>
    <d v="2024-07-19T00:00:00"/>
    <s v="96420 Briar Crest Lane"/>
    <x v="4"/>
    <s v="Fulfilled"/>
    <n v="1"/>
    <n v="47"/>
    <s v="Sufficient"/>
    <s v="Available"/>
  </r>
  <r>
    <s v="97-300-7511"/>
    <x v="9"/>
    <s v="Dairy"/>
    <s v="Katz"/>
    <x v="4"/>
    <n v="53"/>
    <n v="61"/>
    <n v="1"/>
    <d v="2024-07-17T00:00:00"/>
    <s v="45190 Fordem Court"/>
    <x v="54"/>
    <s v="Pending"/>
    <n v="1"/>
    <n v="89"/>
    <s v="Reoeder required"/>
    <s v="Available"/>
  </r>
  <r>
    <s v="83-108-1174"/>
    <x v="42"/>
    <s v="Bakery"/>
    <s v="Devpoint"/>
    <x v="87"/>
    <n v="68"/>
    <n v="68"/>
    <n v="2.5"/>
    <d v="2024-03-05T00:00:00"/>
    <s v="3 Monument Street"/>
    <x v="72"/>
    <s v="Pending"/>
    <n v="7"/>
    <n v="24"/>
    <s v="Sufficient"/>
    <s v="Available"/>
  </r>
  <r>
    <s v="38-664-2155"/>
    <x v="78"/>
    <s v="Fruits &amp; Vegetables"/>
    <s v="Realpoint"/>
    <x v="32"/>
    <n v="27"/>
    <n v="73"/>
    <n v="2.5499999999999998"/>
    <d v="2024-04-12T00:00:00"/>
    <s v="843 Pepper Wood Hill"/>
    <x v="20"/>
    <s v="Pending"/>
    <n v="3"/>
    <n v="97"/>
    <s v="Sufficient"/>
    <s v="Available"/>
  </r>
  <r>
    <s v="80-459-5950"/>
    <x v="1"/>
    <s v="Beverages"/>
    <s v="Rhyzio"/>
    <x v="59"/>
    <n v="10"/>
    <n v="74"/>
    <n v="20"/>
    <d v="2024-10-02T00:00:00"/>
    <s v="5 Killdeer Trail"/>
    <x v="10"/>
    <s v="Pending"/>
    <n v="2"/>
    <n v="66"/>
    <s v="Sufficient"/>
    <s v="Available"/>
  </r>
  <r>
    <s v="93-015-0811"/>
    <x v="27"/>
    <s v="Fruits &amp; Vegetables"/>
    <s v="Gigashots"/>
    <x v="27"/>
    <n v="7"/>
    <n v="58"/>
    <n v="3.5"/>
    <d v="2024-08-05T00:00:00"/>
    <s v="1 Pleasure Hill"/>
    <x v="74"/>
    <s v="Pending"/>
    <n v="5"/>
    <n v="96"/>
    <s v="Sufficient"/>
    <s v="Available"/>
  </r>
  <r>
    <s v="02-888-9412"/>
    <x v="78"/>
    <s v="Fruits &amp; Vegetables"/>
    <s v="Photobug"/>
    <x v="12"/>
    <n v="66"/>
    <n v="69"/>
    <n v="2.48"/>
    <d v="2024-03-28T00:00:00"/>
    <s v="880 Calypso Road"/>
    <x v="57"/>
    <s v="Fulfilled"/>
    <n v="5"/>
    <n v="72"/>
    <s v="Sufficient"/>
    <s v="Available"/>
  </r>
  <r>
    <s v="10-218-2680"/>
    <x v="89"/>
    <s v="Dairy"/>
    <s v="Quinu"/>
    <x v="30"/>
    <n v="93"/>
    <n v="57"/>
    <n v="2.5"/>
    <d v="2024-05-28T00:00:00"/>
    <s v="6810 Aberg Junction"/>
    <x v="51"/>
    <s v="Fulfilled"/>
    <n v="7"/>
    <n v="44"/>
    <s v="Reoeder required"/>
    <s v="Available"/>
  </r>
  <r>
    <s v="30-964-2694"/>
    <x v="57"/>
    <s v="Fruits &amp; Vegetables"/>
    <s v="Edgeclub"/>
    <x v="32"/>
    <n v="72"/>
    <n v="55"/>
    <n v="3"/>
    <d v="2024-05-12T00:00:00"/>
    <s v="39 Dovetail Terrace"/>
    <x v="32"/>
    <s v="Pending"/>
    <n v="8"/>
    <n v="41"/>
    <s v="Reoeder required"/>
    <s v="Available"/>
  </r>
  <r>
    <s v="15-144-9413"/>
    <x v="12"/>
    <s v="Fruits &amp; Vegetables"/>
    <s v="Meevee"/>
    <x v="62"/>
    <n v="15"/>
    <n v="87"/>
    <n v="5.9"/>
    <d v="2024-06-30T00:00:00"/>
    <s v="3 Buhler Place"/>
    <x v="20"/>
    <s v="Fulfilled"/>
    <n v="5"/>
    <n v="81"/>
    <s v="Sufficient"/>
    <s v="Available"/>
  </r>
  <r>
    <s v="17-253-5688"/>
    <x v="8"/>
    <s v="Dairy"/>
    <s v="Shufflester"/>
    <x v="30"/>
    <n v="55"/>
    <n v="39"/>
    <n v="3"/>
    <d v="2024-07-07T00:00:00"/>
    <s v="7 Hooker Way"/>
    <x v="11"/>
    <s v="Pending"/>
    <n v="2"/>
    <n v="59"/>
    <s v="Reoeder required"/>
    <s v="Available"/>
  </r>
  <r>
    <s v="31-608-1445"/>
    <x v="108"/>
    <s v="Fruits &amp; Vegetables"/>
    <s v="Ntag"/>
    <x v="36"/>
    <n v="28"/>
    <n v="29"/>
    <n v="4.4000000000000004"/>
    <d v="2025-02-15T00:00:00"/>
    <s v="227 Tennyson Plaza"/>
    <x v="46"/>
    <s v="Fulfilled"/>
    <n v="6"/>
    <n v="32"/>
    <s v="Sufficient"/>
    <s v="Available"/>
  </r>
  <r>
    <s v="51-934-9117"/>
    <x v="44"/>
    <s v="Seafood"/>
    <s v="Linklinks"/>
    <x v="2"/>
    <n v="55"/>
    <n v="4"/>
    <n v="6"/>
    <d v="2024-07-28T00:00:00"/>
    <s v="05944 Scott Parkway"/>
    <x v="8"/>
    <s v="Pending"/>
    <n v="2"/>
    <n v="31"/>
    <s v="Reoeder required"/>
    <s v="Available"/>
  </r>
  <r>
    <s v="72-810-9753"/>
    <x v="90"/>
    <s v="Oils &amp; Fats"/>
    <s v="Yotz"/>
    <x v="39"/>
    <n v="84"/>
    <n v="15"/>
    <n v="6.5"/>
    <d v="2025-02-07T00:00:00"/>
    <s v="545 Farwell Lane"/>
    <x v="32"/>
    <s v="Pending"/>
    <n v="7"/>
    <n v="73"/>
    <s v="Reoeder required"/>
    <s v="Available"/>
  </r>
  <r>
    <s v="53-146-9979"/>
    <x v="86"/>
    <s v="Grains &amp; Pulses"/>
    <s v="Skidoo"/>
    <x v="55"/>
    <n v="15"/>
    <n v="27"/>
    <n v="2.5"/>
    <d v="2024-10-11T00:00:00"/>
    <s v="42 Mandrake Alley"/>
    <x v="36"/>
    <s v="Pending"/>
    <n v="2"/>
    <n v="41"/>
    <s v="Sufficient"/>
    <s v="Available"/>
  </r>
  <r>
    <s v="46-622-3434"/>
    <x v="65"/>
    <s v="Grains &amp; Pulses"/>
    <s v="Topdrive"/>
    <x v="85"/>
    <n v="19"/>
    <n v="74"/>
    <n v="4.75"/>
    <d v="2024-12-08T00:00:00"/>
    <s v="2 Miller Lane"/>
    <x v="63"/>
    <s v="Pending"/>
    <n v="6"/>
    <n v="27"/>
    <s v="Reoeder required"/>
    <s v="Available"/>
  </r>
  <r>
    <s v="47-843-8207"/>
    <x v="78"/>
    <s v="Fruits &amp; Vegetables"/>
    <s v="Cogilith"/>
    <x v="68"/>
    <n v="92"/>
    <n v="26"/>
    <n v="2.5"/>
    <d v="2024-04-10T00:00:00"/>
    <s v="01 Northfield Road"/>
    <x v="64"/>
    <s v="Fulfilled"/>
    <n v="1"/>
    <n v="71"/>
    <s v="Reoeder required"/>
    <s v="Available"/>
  </r>
  <r>
    <s v="29-135-0791"/>
    <x v="65"/>
    <s v="Grains &amp; Pulses"/>
    <s v="Babblestorm"/>
    <x v="61"/>
    <n v="48"/>
    <n v="82"/>
    <n v="4.75"/>
    <d v="2024-12-21T00:00:00"/>
    <s v="97 Utah Lane"/>
    <x v="75"/>
    <s v="Pending"/>
    <n v="3"/>
    <n v="65"/>
    <s v="Sufficient"/>
    <s v="Available"/>
  </r>
  <r>
    <s v="45-194-4094"/>
    <x v="4"/>
    <s v="Fruits &amp; Vegetables"/>
    <s v="Devcast"/>
    <x v="56"/>
    <n v="71"/>
    <n v="69"/>
    <n v="3.9"/>
    <d v="2024-06-14T00:00:00"/>
    <s v="2 Scofield Street"/>
    <x v="30"/>
    <s v="Fulfilled"/>
    <n v="7"/>
    <n v="67"/>
    <s v="Reoeder required"/>
    <s v="Available"/>
  </r>
  <r>
    <s v="09-712-3630"/>
    <x v="103"/>
    <s v="Fruits &amp; Vegetables"/>
    <s v="Aibox"/>
    <x v="89"/>
    <n v="62"/>
    <n v="2"/>
    <n v="5.5"/>
    <d v="2024-03-25T00:00:00"/>
    <s v="10 Golf Course Hill"/>
    <x v="70"/>
    <s v="Fulfilled"/>
    <n v="3"/>
    <n v="38"/>
    <s v="Sufficient"/>
    <s v="Available"/>
  </r>
  <r>
    <s v="56-213-0577"/>
    <x v="108"/>
    <s v="Fruits &amp; Vegetables"/>
    <s v="Kwinu"/>
    <x v="35"/>
    <n v="25"/>
    <n v="52"/>
    <n v="4.5"/>
    <d v="2024-05-23T00:00:00"/>
    <s v="851 Hollow Ridge Center"/>
    <x v="38"/>
    <s v="Fulfilled"/>
    <n v="1"/>
    <n v="77"/>
    <s v="Reoeder required"/>
    <s v="Available"/>
  </r>
  <r>
    <s v="78-956-4737"/>
    <x v="0"/>
    <s v="Grains &amp; Pulses"/>
    <s v="Photobug"/>
    <x v="28"/>
    <n v="1"/>
    <n v="60"/>
    <n v="4.2"/>
    <d v="2024-05-19T00:00:00"/>
    <s v="9 Burrows Junction"/>
    <x v="0"/>
    <s v="Fulfilled"/>
    <n v="6"/>
    <n v="87"/>
    <s v="Sufficient"/>
    <s v="Available"/>
  </r>
  <r>
    <s v="29-436-6570"/>
    <x v="99"/>
    <s v="Bakery"/>
    <s v="Quatz"/>
    <x v="33"/>
    <n v="8"/>
    <n v="45"/>
    <n v="4"/>
    <d v="2024-09-27T00:00:00"/>
    <s v="30590 Bowman Alley"/>
    <x v="21"/>
    <s v="Pending"/>
    <n v="1"/>
    <n v="64"/>
    <s v="Sufficient"/>
    <s v="Available"/>
  </r>
  <r>
    <s v="04-038-1547"/>
    <x v="11"/>
    <s v="Bakery"/>
    <s v="Realblab"/>
    <x v="32"/>
    <n v="2"/>
    <n v="16"/>
    <n v="2.8"/>
    <d v="2024-11-24T00:00:00"/>
    <s v="76 Shelley Pass"/>
    <x v="9"/>
    <s v="Fulfilled"/>
    <n v="4"/>
    <n v="1"/>
    <s v="Sufficient"/>
    <s v="Available"/>
  </r>
  <r>
    <s v="76-476-9996"/>
    <x v="61"/>
    <s v="Bakery"/>
    <s v="Photobean"/>
    <x v="4"/>
    <n v="96"/>
    <n v="82"/>
    <n v="5"/>
    <d v="2025-01-14T00:00:00"/>
    <s v="0 Larry Terrace"/>
    <x v="41"/>
    <s v="Fulfilled"/>
    <n v="6"/>
    <n v="23"/>
    <s v="Reoeder required"/>
    <s v="Available"/>
  </r>
  <r>
    <s v="43-469-7551"/>
    <x v="1"/>
    <s v="Beverages"/>
    <s v="Rhycero"/>
    <x v="1"/>
    <n v="36"/>
    <n v="97"/>
    <n v="20"/>
    <d v="2024-05-26T00:00:00"/>
    <s v="760 Butternut Plaza"/>
    <x v="66"/>
    <s v="Fulfilled"/>
    <n v="2"/>
    <n v="6"/>
    <s v="Sufficient"/>
    <s v="Available"/>
  </r>
  <r>
    <s v="15-169-8058"/>
    <x v="14"/>
    <s v="Grains &amp; Pulses"/>
    <s v="Feedfire"/>
    <x v="89"/>
    <n v="97"/>
    <n v="28"/>
    <n v="1.5"/>
    <d v="2024-09-23T00:00:00"/>
    <s v="26160 Independence Alley"/>
    <x v="63"/>
    <s v="Fulfilled"/>
    <n v="1"/>
    <n v="21"/>
    <s v="Reoeder required"/>
    <s v="Available"/>
  </r>
  <r>
    <s v="37-567-3218"/>
    <x v="69"/>
    <s v="Grains &amp; Pulses"/>
    <s v="Trilia"/>
    <x v="4"/>
    <n v="47"/>
    <n v="34"/>
    <n v="9.5"/>
    <d v="2024-10-31T00:00:00"/>
    <s v="153 Caliangt Plaza"/>
    <x v="39"/>
    <s v="Pending"/>
    <n v="5"/>
    <n v="89"/>
    <s v="Reoeder required"/>
    <s v="Available"/>
  </r>
  <r>
    <s v="92-455-2959"/>
    <x v="93"/>
    <s v="Beverages"/>
    <s v="Katz"/>
    <x v="43"/>
    <n v="62"/>
    <n v="57"/>
    <n v="10.3"/>
    <d v="2024-07-16T00:00:00"/>
    <s v="0 Ohio Hill"/>
    <x v="54"/>
    <s v="Pending"/>
    <n v="8"/>
    <n v="94"/>
    <s v="Reoeder required"/>
    <s v="Available"/>
  </r>
  <r>
    <s v="75-672-4378"/>
    <x v="75"/>
    <s v="Fruits &amp; Vegetables"/>
    <s v="Eare"/>
    <x v="10"/>
    <n v="40"/>
    <n v="86"/>
    <n v="6"/>
    <d v="2024-11-16T00:00:00"/>
    <s v="4 Esch Point"/>
    <x v="78"/>
    <s v="Fulfilled"/>
    <n v="1"/>
    <n v="86"/>
    <s v="Sufficient"/>
    <s v="Available"/>
  </r>
  <r>
    <s v="66-806-6051"/>
    <x v="109"/>
    <s v="Dairy"/>
    <s v="Devpulse"/>
    <x v="21"/>
    <n v="12"/>
    <n v="82"/>
    <n v="1.7"/>
    <d v="2024-07-01T00:00:00"/>
    <s v="8 Kensington Place"/>
    <x v="8"/>
    <s v="Fulfilled"/>
    <n v="4"/>
    <n v="31"/>
    <s v="Sufficient"/>
    <s v="Available"/>
  </r>
  <r>
    <s v="65-527-9488"/>
    <x v="103"/>
    <s v="Fruits &amp; Vegetables"/>
    <s v="Layo"/>
    <x v="54"/>
    <n v="72"/>
    <n v="39"/>
    <n v="5.5"/>
    <d v="2024-06-24T00:00:00"/>
    <s v="23704 Algoma Park"/>
    <x v="22"/>
    <s v="Pending"/>
    <n v="4"/>
    <n v="8"/>
    <s v="Reoeder required"/>
    <s v="Available"/>
  </r>
  <r>
    <s v="36-840-2728"/>
    <x v="101"/>
    <s v="Seafood"/>
    <s v="Dabfeed"/>
    <x v="77"/>
    <n v="21"/>
    <n v="3"/>
    <n v="7.5"/>
    <d v="2024-08-10T00:00:00"/>
    <s v="08545 Lillian Street"/>
    <x v="2"/>
    <s v="Fulfilled"/>
    <n v="8"/>
    <n v="47"/>
    <s v="Sufficient"/>
    <s v="Available"/>
  </r>
  <r>
    <s v="07-389-5740"/>
    <x v="22"/>
    <s v="Dairy"/>
    <s v="Skimia"/>
    <x v="68"/>
    <n v="94"/>
    <n v="69"/>
    <n v="0.8"/>
    <d v="2024-03-12T00:00:00"/>
    <s v="59 Veith Center"/>
    <x v="40"/>
    <s v="Pending"/>
    <n v="6"/>
    <n v="30"/>
    <s v="Reoeder required"/>
    <s v="Available"/>
  </r>
  <r>
    <s v="13-144-2169"/>
    <x v="51"/>
    <s v="Fruits &amp; Vegetables"/>
    <s v="Blogpad"/>
    <x v="71"/>
    <n v="62"/>
    <n v="11"/>
    <n v="3"/>
    <d v="2024-12-01T00:00:00"/>
    <s v="52 Namekagon Junction"/>
    <x v="42"/>
    <s v="Pending"/>
    <n v="6"/>
    <n v="98"/>
    <s v="Reoeder required"/>
    <s v="Available"/>
  </r>
  <r>
    <s v="13-798-3397"/>
    <x v="89"/>
    <s v="Dairy"/>
    <s v="Twimm"/>
    <x v="66"/>
    <n v="16"/>
    <n v="37"/>
    <n v="2.5"/>
    <d v="2024-05-09T00:00:00"/>
    <s v="93321 Kennedy Point"/>
    <x v="5"/>
    <s v="Fulfilled"/>
    <n v="2"/>
    <n v="66"/>
    <s v="Sufficient"/>
    <s v="Available"/>
  </r>
  <r>
    <s v="85-806-0613"/>
    <x v="24"/>
    <s v="Bakery"/>
    <s v="Kwimbee"/>
    <x v="41"/>
    <n v="21"/>
    <n v="47"/>
    <n v="5"/>
    <d v="2025-01-01T00:00:00"/>
    <s v="9269 Main Trail"/>
    <x v="25"/>
    <s v="Pending"/>
    <n v="3"/>
    <n v="99"/>
    <s v="Sufficient"/>
    <s v="Available"/>
  </r>
  <r>
    <s v="67-248-6306"/>
    <x v="78"/>
    <s v="Fruits &amp; Vegetables"/>
    <s v="Avamm"/>
    <x v="25"/>
    <n v="54"/>
    <n v="10"/>
    <n v="2.5"/>
    <d v="2024-10-02T00:00:00"/>
    <s v="05 Bartelt Street"/>
    <x v="44"/>
    <s v="Fulfilled"/>
    <n v="5"/>
    <n v="73"/>
    <s v="Sufficient"/>
    <s v="Available"/>
  </r>
  <r>
    <s v="47-866-6589"/>
    <x v="9"/>
    <s v="Dairy"/>
    <s v="Dynazzy"/>
    <x v="41"/>
    <n v="61"/>
    <n v="69"/>
    <n v="1"/>
    <d v="2025-02-03T00:00:00"/>
    <s v="30880 Barnett Junction"/>
    <x v="43"/>
    <s v="Fulfilled"/>
    <n v="5"/>
    <n v="100"/>
    <s v="Reoeder required"/>
    <s v="Available"/>
  </r>
  <r>
    <s v="91-127-7489"/>
    <x v="41"/>
    <s v="Fruits &amp; Vegetables"/>
    <s v="Oyondu"/>
    <x v="7"/>
    <n v="8"/>
    <n v="52"/>
    <n v="2.95"/>
    <d v="2024-12-10T00:00:00"/>
    <s v="43211 Anzinger Drive"/>
    <x v="27"/>
    <s v="Fulfilled"/>
    <n v="6"/>
    <n v="66"/>
    <s v="Sufficient"/>
    <s v="Available"/>
  </r>
  <r>
    <s v="90-343-9640"/>
    <x v="80"/>
    <s v="Oils &amp; Fats"/>
    <s v="Dabtype"/>
    <x v="58"/>
    <n v="89"/>
    <n v="100"/>
    <n v="10"/>
    <d v="2024-04-06T00:00:00"/>
    <s v="3622 Anhalt Lane"/>
    <x v="70"/>
    <s v="Fulfilled"/>
    <n v="3"/>
    <n v="83"/>
    <s v="Reoeder required"/>
    <s v="Available"/>
  </r>
  <r>
    <s v="01-018-6418"/>
    <x v="61"/>
    <s v="Bakery"/>
    <s v="Chatterbridge"/>
    <x v="75"/>
    <n v="29"/>
    <n v="100"/>
    <n v="5"/>
    <d v="2024-09-27T00:00:00"/>
    <s v="481 Mifflin Hill"/>
    <x v="73"/>
    <s v="Pending"/>
    <n v="6"/>
    <n v="26"/>
    <s v="Sufficient"/>
    <s v="Available"/>
  </r>
  <r>
    <s v="80-375-9075"/>
    <x v="15"/>
    <s v="Dairy"/>
    <s v="Centidel"/>
    <x v="6"/>
    <n v="34"/>
    <n v="57"/>
    <n v="8"/>
    <d v="2024-10-20T00:00:00"/>
    <s v="3831 Goodland Road"/>
    <x v="75"/>
    <s v="Fulfilled"/>
    <n v="2"/>
    <n v="17"/>
    <s v="Sufficient"/>
    <s v="Available"/>
  </r>
  <r>
    <s v="80-227-6886"/>
    <x v="64"/>
    <s v="Fruits &amp; Vegetables"/>
    <s v="Layo"/>
    <x v="64"/>
    <n v="4"/>
    <n v="31"/>
    <n v="7"/>
    <d v="2025-01-12T00:00:00"/>
    <s v="4374 Corry Terrace"/>
    <x v="17"/>
    <s v="Pending"/>
    <n v="7"/>
    <n v="92"/>
    <s v="Sufficient"/>
    <s v="Available"/>
  </r>
  <r>
    <s v="15-562-3712"/>
    <x v="78"/>
    <s v="Fruits &amp; Vegetables"/>
    <s v="Yakitri"/>
    <x v="64"/>
    <n v="89"/>
    <n v="15"/>
    <n v="2.5"/>
    <d v="2024-06-20T00:00:00"/>
    <s v="1 Hudson Hill"/>
    <x v="54"/>
    <s v="Pending"/>
    <n v="2"/>
    <n v="52"/>
    <s v="Reoeder required"/>
    <s v="Available"/>
  </r>
  <r>
    <s v="10-137-9759"/>
    <x v="94"/>
    <s v="Fruits &amp; Vegetables"/>
    <s v="Trupe"/>
    <x v="82"/>
    <n v="17"/>
    <n v="17"/>
    <n v="3"/>
    <d v="2024-09-03T00:00:00"/>
    <s v="402 Kings Road"/>
    <x v="19"/>
    <s v="Fulfilled"/>
    <n v="6"/>
    <n v="84"/>
    <s v="Sufficient"/>
    <s v="Available"/>
  </r>
  <r>
    <s v="69-171-1305"/>
    <x v="104"/>
    <s v="Grains &amp; Pulses"/>
    <s v="Livetube"/>
    <x v="22"/>
    <n v="29"/>
    <n v="57"/>
    <n v="2.5"/>
    <d v="2024-06-18T00:00:00"/>
    <s v="9951 Petterle Alley"/>
    <x v="28"/>
    <s v="Fulfilled"/>
    <n v="3"/>
    <n v="22"/>
    <s v="Sufficient"/>
    <s v="Available"/>
  </r>
  <r>
    <s v="83-117-7658"/>
    <x v="91"/>
    <s v="Fruits &amp; Vegetables"/>
    <s v="Yabox"/>
    <x v="40"/>
    <n v="3"/>
    <n v="81"/>
    <n v="5"/>
    <d v="2024-02-25T00:00:00"/>
    <s v="0282 Emmet Hill"/>
    <x v="4"/>
    <s v="Fulfilled"/>
    <n v="6"/>
    <n v="20"/>
    <s v="Sufficient"/>
    <s v="Available"/>
  </r>
  <r>
    <s v="74-642-2435"/>
    <x v="78"/>
    <s v="Fruits &amp; Vegetables"/>
    <s v="Skinix"/>
    <x v="57"/>
    <n v="31"/>
    <n v="18"/>
    <n v="2.5"/>
    <d v="2024-12-28T00:00:00"/>
    <s v="6292 Chive Street"/>
    <x v="1"/>
    <s v="Pending"/>
    <n v="2"/>
    <n v="39"/>
    <s v="Sufficient"/>
    <s v="Available"/>
  </r>
  <r>
    <s v="10-445-0741"/>
    <x v="95"/>
    <s v="Seafood"/>
    <s v="Mybuzz"/>
    <x v="88"/>
    <n v="17"/>
    <n v="39"/>
    <n v="10"/>
    <d v="2024-07-11T00:00:00"/>
    <s v="31 Loomis Park"/>
    <x v="55"/>
    <s v="Fulfilled"/>
    <n v="7"/>
    <n v="20"/>
    <s v="Sufficient"/>
    <s v="Available"/>
  </r>
  <r>
    <s v="80-658-6456"/>
    <x v="34"/>
    <s v="Fruits &amp; Vegetables"/>
    <s v="Wordtune"/>
    <x v="36"/>
    <n v="9"/>
    <n v="46"/>
    <n v="5"/>
    <d v="2024-05-19T00:00:00"/>
    <s v="44051 Old Shore Junction"/>
    <x v="43"/>
    <s v="Fulfilled"/>
    <n v="7"/>
    <n v="68"/>
    <s v="Sufficient"/>
    <s v="Available"/>
  </r>
  <r>
    <s v="81-354-4203"/>
    <x v="30"/>
    <s v="Seafood"/>
    <s v="Yabox"/>
    <x v="77"/>
    <n v="57"/>
    <n v="78"/>
    <n v="9"/>
    <d v="2024-06-27T00:00:00"/>
    <s v="12 Luster Terrace"/>
    <x v="20"/>
    <s v="Fulfilled"/>
    <n v="1"/>
    <n v="86"/>
    <s v="Sufficient"/>
    <s v="Available"/>
  </r>
  <r>
    <s v="08-573-9997"/>
    <x v="75"/>
    <s v="Fruits &amp; Vegetables"/>
    <s v="Meevee"/>
    <x v="11"/>
    <n v="1"/>
    <n v="9"/>
    <n v="6"/>
    <d v="2024-04-05T00:00:00"/>
    <s v="03 Little Fleur Pass"/>
    <x v="19"/>
    <s v="Pending"/>
    <n v="5"/>
    <n v="8"/>
    <s v="Sufficient"/>
    <s v="Available"/>
  </r>
  <r>
    <s v="74-610-2295"/>
    <x v="43"/>
    <s v="Beverages"/>
    <s v="Lajo"/>
    <x v="33"/>
    <n v="31"/>
    <n v="100"/>
    <n v="12.5"/>
    <d v="2024-03-16T00:00:00"/>
    <s v="87 Bluestem Parkway"/>
    <x v="3"/>
    <s v="Pending"/>
    <n v="2"/>
    <n v="61"/>
    <s v="Sufficient"/>
    <s v="Available"/>
  </r>
  <r>
    <s v="76-070-1411"/>
    <x v="107"/>
    <s v="Dairy"/>
    <s v="Realcube"/>
    <x v="72"/>
    <n v="75"/>
    <n v="78"/>
    <n v="1.9"/>
    <d v="2025-02-12T00:00:00"/>
    <s v="87578 Stoughton Parkway"/>
    <x v="75"/>
    <s v="Pending"/>
    <n v="7"/>
    <n v="21"/>
    <s v="Reoeder required"/>
    <s v="Available"/>
  </r>
  <r>
    <s v="61-582-7399"/>
    <x v="106"/>
    <s v="Fruits &amp; Vegetables"/>
    <s v="Topiczoom"/>
    <x v="49"/>
    <n v="83"/>
    <n v="74"/>
    <n v="5"/>
    <d v="2025-02-05T00:00:00"/>
    <s v="8 Hanover Center"/>
    <x v="80"/>
    <s v="Pending"/>
    <n v="8"/>
    <n v="10"/>
    <s v="Reoeder required"/>
    <s v="Available"/>
  </r>
  <r>
    <s v="42-674-3917"/>
    <x v="92"/>
    <s v="Grains &amp; Pulses"/>
    <s v="Pixonyx"/>
    <x v="41"/>
    <n v="76"/>
    <n v="47"/>
    <n v="2.65"/>
    <d v="2024-04-20T00:00:00"/>
    <s v="78 Forest Dale Road"/>
    <x v="25"/>
    <s v="Pending"/>
    <n v="1"/>
    <n v="50"/>
    <s v="Reoeder required"/>
    <s v="Available"/>
  </r>
  <r>
    <s v="05-899-1428"/>
    <x v="80"/>
    <s v="Oils &amp; Fats"/>
    <s v="Dabjam"/>
    <x v="39"/>
    <n v="75"/>
    <n v="10"/>
    <n v="10"/>
    <d v="2025-01-25T00:00:00"/>
    <s v="591 Maple Junction"/>
    <x v="29"/>
    <s v="Pending"/>
    <n v="2"/>
    <n v="62"/>
    <s v="Reoeder required"/>
    <s v="Available"/>
  </r>
  <r>
    <s v="74-548-9313"/>
    <x v="34"/>
    <s v="Fruits &amp; Vegetables"/>
    <s v="Meevee"/>
    <x v="47"/>
    <n v="59"/>
    <n v="12"/>
    <n v="5"/>
    <d v="2024-09-20T00:00:00"/>
    <s v="1 Judy Street"/>
    <x v="20"/>
    <s v="Fulfilled"/>
    <n v="6"/>
    <n v="57"/>
    <s v="Sufficient"/>
    <s v="Available"/>
  </r>
  <r>
    <s v="20-448-2972"/>
    <x v="91"/>
    <s v="Fruits &amp; Vegetables"/>
    <s v="Buzzbean"/>
    <x v="76"/>
    <n v="6"/>
    <n v="92"/>
    <n v="5"/>
    <d v="2025-01-20T00:00:00"/>
    <s v="49770 Hoffman Court"/>
    <x v="51"/>
    <s v="Fulfilled"/>
    <n v="1"/>
    <n v="71"/>
    <s v="Sufficient"/>
    <s v="Available"/>
  </r>
  <r>
    <s v="63-162-9244"/>
    <x v="51"/>
    <s v="Fruits &amp; Vegetables"/>
    <s v="Vimbo"/>
    <x v="16"/>
    <n v="89"/>
    <n v="65"/>
    <n v="3"/>
    <d v="2024-08-11T00:00:00"/>
    <s v="04 Rockefeller Terrace"/>
    <x v="36"/>
    <s v="Fulfilled"/>
    <n v="5"/>
    <n v="48"/>
    <s v="Reoeder required"/>
    <s v="Available"/>
  </r>
  <r>
    <s v="91-417-0366"/>
    <x v="103"/>
    <s v="Fruits &amp; Vegetables"/>
    <s v="Riffwire"/>
    <x v="71"/>
    <n v="74"/>
    <n v="100"/>
    <n v="5.5"/>
    <d v="2024-12-07T00:00:00"/>
    <s v="1 Elmside Parkway"/>
    <x v="69"/>
    <s v="Pending"/>
    <n v="2"/>
    <n v="59"/>
    <s v="Reoeder required"/>
    <s v="Available"/>
  </r>
  <r>
    <s v="60-311-5701"/>
    <x v="90"/>
    <s v="Oils &amp; Fats"/>
    <s v="Shuffledrive"/>
    <x v="30"/>
    <n v="78"/>
    <n v="97"/>
    <n v="6.5"/>
    <d v="2024-10-19T00:00:00"/>
    <s v="9 Meadow Vale Drive"/>
    <x v="46"/>
    <s v="Pending"/>
    <n v="6"/>
    <n v="89"/>
    <s v="Reoeder required"/>
    <s v="Available"/>
  </r>
  <r>
    <s v="36-899-5324"/>
    <x v="41"/>
    <s v="Fruits &amp; Vegetables"/>
    <s v="Flashdog"/>
    <x v="14"/>
    <n v="58"/>
    <n v="17"/>
    <n v="2.9"/>
    <d v="2024-07-05T00:00:00"/>
    <s v="3 Bashford Court"/>
    <x v="42"/>
    <s v="Fulfilled"/>
    <n v="3"/>
    <n v="74"/>
    <s v="Sufficient"/>
    <s v="Available"/>
  </r>
  <r>
    <s v="22-266-9291"/>
    <x v="44"/>
    <s v="Seafood"/>
    <s v="Vinder"/>
    <x v="73"/>
    <n v="17"/>
    <n v="59"/>
    <n v="6"/>
    <d v="2024-03-27T00:00:00"/>
    <s v="111 David Hill"/>
    <x v="12"/>
    <s v="Pending"/>
    <n v="4"/>
    <n v="100"/>
    <s v="Reoeder required"/>
    <s v="Available"/>
  </r>
  <r>
    <s v="76-584-4790"/>
    <x v="59"/>
    <s v="Oils &amp; Fats"/>
    <s v="Twitterwire"/>
    <x v="55"/>
    <n v="52"/>
    <n v="80"/>
    <n v="4"/>
    <d v="2024-11-04T00:00:00"/>
    <s v="1170 Shasta Circle"/>
    <x v="65"/>
    <s v="Pending"/>
    <n v="6"/>
    <n v="37"/>
    <s v="Reoeder required"/>
    <s v="Available"/>
  </r>
  <r>
    <s v="82-948-2298"/>
    <x v="39"/>
    <s v="Fruits &amp; Vegetables"/>
    <s v="Topdrive"/>
    <x v="54"/>
    <n v="91"/>
    <n v="94"/>
    <n v="5.7"/>
    <d v="2025-02-17T00:00:00"/>
    <s v="555 Butternut Hill"/>
    <x v="59"/>
    <s v="Pending"/>
    <n v="6"/>
    <n v="87"/>
    <s v="Reoeder required"/>
    <s v="Available"/>
  </r>
  <r>
    <s v="97-283-4840"/>
    <x v="63"/>
    <s v="Oils &amp; Fats"/>
    <s v="Browsetype"/>
    <x v="62"/>
    <n v="23"/>
    <n v="66"/>
    <n v="1.8"/>
    <d v="2024-05-12T00:00:00"/>
    <s v="7232 Ridgeway Center"/>
    <x v="19"/>
    <s v="Pending"/>
    <n v="8"/>
    <n v="61"/>
    <s v="Sufficient"/>
    <s v="Available"/>
  </r>
  <r>
    <s v="17-395-1121"/>
    <x v="4"/>
    <s v="Fruits &amp; Vegetables"/>
    <s v="Lajo"/>
    <x v="42"/>
    <n v="16"/>
    <n v="74"/>
    <n v="3.85"/>
    <d v="2024-10-08T00:00:00"/>
    <s v="8 Oriole Terrace"/>
    <x v="63"/>
    <s v="Fulfilled"/>
    <n v="5"/>
    <n v="36"/>
    <s v="Sufficient"/>
    <s v="Available"/>
  </r>
  <r>
    <s v="74-132-5528"/>
    <x v="78"/>
    <s v="Fruits &amp; Vegetables"/>
    <s v="Vinder"/>
    <x v="21"/>
    <n v="62"/>
    <n v="98"/>
    <n v="2.5"/>
    <d v="2024-03-21T00:00:00"/>
    <s v="611 Fieldstone Drive"/>
    <x v="4"/>
    <s v="Fulfilled"/>
    <n v="4"/>
    <n v="45"/>
    <s v="Sufficient"/>
    <s v="Available"/>
  </r>
  <r>
    <s v="52-029-2382"/>
    <x v="117"/>
    <s v="Oils &amp; Fats"/>
    <s v="Brightdog"/>
    <x v="13"/>
    <n v="86"/>
    <n v="69"/>
    <n v="5"/>
    <d v="2024-08-15T00:00:00"/>
    <s v="08896 Evergreen Avenue"/>
    <x v="18"/>
    <s v="Fulfilled"/>
    <n v="5"/>
    <n v="8"/>
    <s v="Reoeder required"/>
    <s v="Available"/>
  </r>
  <r>
    <s v="11-053-0107"/>
    <x v="119"/>
    <s v="Fruits &amp; Vegetables"/>
    <s v="Rooxo"/>
    <x v="2"/>
    <n v="25"/>
    <n v="11"/>
    <n v="8"/>
    <d v="2024-07-12T00:00:00"/>
    <s v="734 Thackeray Avenue"/>
    <x v="27"/>
    <s v="Pending"/>
    <n v="7"/>
    <n v="76"/>
    <s v="Sufficient"/>
    <s v="Available"/>
  </r>
  <r>
    <s v="99-194-5600"/>
    <x v="78"/>
    <s v="Fruits &amp; Vegetables"/>
    <s v="Tanoodle"/>
    <x v="63"/>
    <n v="25"/>
    <n v="98"/>
    <n v="2.5"/>
    <d v="2024-02-25T00:00:00"/>
    <s v="973 Spaight Place"/>
    <x v="16"/>
    <s v="Pending"/>
    <n v="5"/>
    <n v="37"/>
    <s v="Sufficient"/>
    <s v="Available"/>
  </r>
  <r>
    <s v="48-289-0604"/>
    <x v="87"/>
    <s v="Oils &amp; Fats"/>
    <s v="Browseblab"/>
    <x v="27"/>
    <n v="72"/>
    <n v="71"/>
    <n v="2"/>
    <d v="2024-08-12T00:00:00"/>
    <s v="5 Colorado Park"/>
    <x v="28"/>
    <s v="Pending"/>
    <n v="2"/>
    <n v="81"/>
    <s v="Reoeder required"/>
    <s v="Available"/>
  </r>
  <r>
    <s v="73-010-8323"/>
    <x v="82"/>
    <s v="Seafood"/>
    <s v="Tagcat"/>
    <x v="24"/>
    <n v="34"/>
    <n v="89"/>
    <n v="18"/>
    <d v="2024-02-27T00:00:00"/>
    <s v="811 Dapin Center"/>
    <x v="41"/>
    <s v="Pending"/>
    <n v="4"/>
    <n v="52"/>
    <s v="Reoeder required"/>
    <s v="Available"/>
  </r>
  <r>
    <s v="06-068-6793"/>
    <x v="83"/>
    <s v="Dairy"/>
    <s v="Twitterbeat"/>
    <x v="30"/>
    <n v="80"/>
    <n v="68"/>
    <n v="2.5"/>
    <d v="2024-08-06T00:00:00"/>
    <s v="25 Nancy Place"/>
    <x v="17"/>
    <s v="Pending"/>
    <n v="2"/>
    <n v="54"/>
    <s v="Reoeder required"/>
    <s v="Available"/>
  </r>
  <r>
    <s v="56-054-8664"/>
    <x v="35"/>
    <s v="Fruits &amp; Vegetables"/>
    <s v="Centimia"/>
    <x v="43"/>
    <n v="82"/>
    <n v="69"/>
    <n v="2.4500000000000002"/>
    <d v="2024-03-25T00:00:00"/>
    <s v="01 Straubel Hill"/>
    <x v="43"/>
    <s v="Fulfilled"/>
    <n v="4"/>
    <n v="34"/>
    <s v="Reoeder required"/>
    <s v="Available"/>
  </r>
  <r>
    <s v="36-330-5036"/>
    <x v="115"/>
    <s v="Seafood"/>
    <s v="Mycat"/>
    <x v="70"/>
    <n v="28"/>
    <n v="4"/>
    <n v="15"/>
    <d v="2024-09-20T00:00:00"/>
    <s v="21 Golden Leaf Hill"/>
    <x v="27"/>
    <s v="Fulfilled"/>
    <n v="1"/>
    <n v="46"/>
    <s v="Sufficient"/>
    <s v="Available"/>
  </r>
  <r>
    <s v="65-674-6076"/>
    <x v="22"/>
    <s v="Dairy"/>
    <s v="Ntags"/>
    <x v="87"/>
    <n v="61"/>
    <n v="6"/>
    <n v="0.8"/>
    <d v="2024-10-06T00:00:00"/>
    <s v="9738 Old Shore Trail"/>
    <x v="65"/>
    <s v="Fulfilled"/>
    <n v="4"/>
    <n v="60"/>
    <s v="Sufficient"/>
    <s v="Available"/>
  </r>
  <r>
    <s v="87-013-6488"/>
    <x v="0"/>
    <s v="Grains &amp; Pulses"/>
    <s v="Tekfly"/>
    <x v="0"/>
    <n v="10"/>
    <n v="53"/>
    <n v="4.25"/>
    <d v="2024-10-26T00:00:00"/>
    <s v="07855 Goodland Lane"/>
    <x v="44"/>
    <s v="Pending"/>
    <n v="4"/>
    <n v="7"/>
    <s v="Sufficient"/>
    <s v="Available"/>
  </r>
  <r>
    <s v="95-449-1286"/>
    <x v="120"/>
    <s v="Dairy"/>
    <s v="Realfire"/>
    <x v="78"/>
    <n v="17"/>
    <n v="70"/>
    <n v="0.2"/>
    <d v="2024-12-23T00:00:00"/>
    <s v="1 Jackson Pass"/>
    <x v="10"/>
    <s v="Pending"/>
    <n v="8"/>
    <n v="63"/>
    <s v="Reoeder required"/>
    <s v="Available"/>
  </r>
  <r>
    <s v="95-640-0293"/>
    <x v="54"/>
    <s v="Grains &amp; Pulses"/>
    <s v="Geba"/>
    <x v="68"/>
    <n v="32"/>
    <n v="22"/>
    <n v="4.5"/>
    <d v="2024-11-02T00:00:00"/>
    <s v="31 Sullivan Hill"/>
    <x v="27"/>
    <s v="Pending"/>
    <n v="2"/>
    <n v="27"/>
    <s v="Sufficient"/>
    <s v="Available"/>
  </r>
  <r>
    <s v="08-495-6853"/>
    <x v="52"/>
    <s v="Dairy"/>
    <s v="Yadel"/>
    <x v="59"/>
    <n v="62"/>
    <n v="6"/>
    <n v="4"/>
    <d v="2025-01-13T00:00:00"/>
    <s v="7943 Amoth Parkway"/>
    <x v="29"/>
    <s v="Fulfilled"/>
    <n v="4"/>
    <n v="96"/>
    <s v="Sufficient"/>
    <s v="Available"/>
  </r>
  <r>
    <s v="42-495-7698"/>
    <x v="0"/>
    <s v="Grains &amp; Pulses"/>
    <s v="Latz"/>
    <x v="78"/>
    <n v="11"/>
    <n v="29"/>
    <n v="4.3"/>
    <d v="2024-10-08T00:00:00"/>
    <s v="91 Gateway Pass"/>
    <x v="18"/>
    <s v="Pending"/>
    <n v="6"/>
    <n v="72"/>
    <s v="Reoeder required"/>
    <s v="Available"/>
  </r>
  <r>
    <s v="83-727-0814"/>
    <x v="96"/>
    <s v="Grains &amp; Pulses"/>
    <s v="Yodo"/>
    <x v="73"/>
    <n v="87"/>
    <n v="64"/>
    <n v="4.5"/>
    <d v="2024-06-08T00:00:00"/>
    <s v="28 Boyd Pass"/>
    <x v="18"/>
    <s v="Pending"/>
    <n v="8"/>
    <n v="6"/>
    <s v="Reoeder required"/>
    <s v="Available"/>
  </r>
  <r>
    <s v="01-050-2246"/>
    <x v="103"/>
    <s v="Fruits &amp; Vegetables"/>
    <s v="Gabspot"/>
    <x v="47"/>
    <n v="68"/>
    <n v="1"/>
    <n v="5.5"/>
    <d v="2024-02-25T00:00:00"/>
    <s v="38 Esch Pass"/>
    <x v="22"/>
    <s v="Fulfilled"/>
    <n v="8"/>
    <n v="16"/>
    <s v="Sufficient"/>
    <s v="Available"/>
  </r>
  <r>
    <s v="07-858-5487"/>
    <x v="15"/>
    <s v="Dairy"/>
    <s v="Meeveo"/>
    <x v="56"/>
    <n v="14"/>
    <n v="44"/>
    <n v="8"/>
    <d v="2024-05-16T00:00:00"/>
    <s v="6 Susan Alley"/>
    <x v="59"/>
    <s v="Fulfilled"/>
    <n v="1"/>
    <n v="33"/>
    <s v="Sufficient"/>
    <s v="Available"/>
  </r>
  <r>
    <s v="20-283-0111"/>
    <x v="25"/>
    <s v="Fruits &amp; Vegetables"/>
    <s v="Cogidoo"/>
    <x v="62"/>
    <n v="55"/>
    <n v="5"/>
    <n v="4.45"/>
    <d v="2024-04-17T00:00:00"/>
    <s v="0 Ruskin Way"/>
    <x v="4"/>
    <s v="Pending"/>
    <n v="6"/>
    <n v="89"/>
    <s v="Sufficient"/>
    <s v="Available"/>
  </r>
  <r>
    <s v="87-391-9658"/>
    <x v="6"/>
    <s v="Oils &amp; Fats"/>
    <s v="Centizu"/>
    <x v="11"/>
    <n v="100"/>
    <n v="13"/>
    <n v="2.5"/>
    <d v="2024-09-18T00:00:00"/>
    <s v="92486 Laurel Alley"/>
    <x v="78"/>
    <s v="Pending"/>
    <n v="7"/>
    <n v="45"/>
    <s v="Reoeder required"/>
    <s v="Available"/>
  </r>
  <r>
    <s v="44-782-1395"/>
    <x v="21"/>
    <s v="Grains &amp; Pulses"/>
    <s v="Flipopia"/>
    <x v="18"/>
    <n v="72"/>
    <n v="68"/>
    <n v="1.5"/>
    <d v="2024-06-26T00:00:00"/>
    <s v="365 Vera Terrace"/>
    <x v="34"/>
    <s v="Fulfilled"/>
    <n v="4"/>
    <n v="78"/>
    <s v="Reoeder required"/>
    <s v="Available"/>
  </r>
  <r>
    <s v="12-828-1063"/>
    <x v="49"/>
    <s v="Dairy"/>
    <s v="Buzzdog"/>
    <x v="80"/>
    <n v="82"/>
    <n v="85"/>
    <n v="7.1"/>
    <d v="2024-03-29T00:00:00"/>
    <s v="018 Oxford Crossing"/>
    <x v="9"/>
    <s v="Fulfilled"/>
    <n v="2"/>
    <n v="67"/>
    <s v="Reoeder required"/>
    <s v="Available"/>
  </r>
  <r>
    <s v="72-989-2512"/>
    <x v="23"/>
    <s v="Fruits &amp; Vegetables"/>
    <s v="Yakijo"/>
    <x v="35"/>
    <n v="21"/>
    <n v="4"/>
    <n v="6"/>
    <d v="2024-06-27T00:00:00"/>
    <s v="61 Waubesa Court"/>
    <x v="1"/>
    <s v="Pending"/>
    <n v="2"/>
    <n v="17"/>
    <s v="Sufficient"/>
    <s v="Available"/>
  </r>
  <r>
    <s v="53-667-4109"/>
    <x v="31"/>
    <s v="Fruits &amp; Vegetables"/>
    <s v="Voolith"/>
    <x v="24"/>
    <n v="75"/>
    <n v="42"/>
    <n v="2"/>
    <d v="2024-03-21T00:00:00"/>
    <s v="992 East Point"/>
    <x v="70"/>
    <s v="Pending"/>
    <n v="6"/>
    <n v="46"/>
    <s v="Reoeder required"/>
    <s v="Available"/>
  </r>
  <r>
    <s v="93-772-3085"/>
    <x v="74"/>
    <s v="Fruits &amp; Vegetables"/>
    <s v="Edgetag"/>
    <x v="30"/>
    <n v="19"/>
    <n v="18"/>
    <n v="13.99"/>
    <d v="2024-07-18T00:00:00"/>
    <s v="07359 Porter Park"/>
    <x v="63"/>
    <s v="Pending"/>
    <n v="7"/>
    <n v="90"/>
    <s v="Sufficient"/>
    <s v="Available"/>
  </r>
  <r>
    <s v="92-652-3737"/>
    <x v="32"/>
    <s v="Fruits &amp; Vegetables"/>
    <s v="Quimm"/>
    <x v="52"/>
    <n v="56"/>
    <n v="74"/>
    <n v="2.5"/>
    <d v="2024-07-30T00:00:00"/>
    <s v="66330 Northridge Street"/>
    <x v="9"/>
    <s v="Fulfilled"/>
    <n v="7"/>
    <n v="51"/>
    <s v="Sufficient"/>
    <s v="Available"/>
  </r>
  <r>
    <s v="74-404-0582"/>
    <x v="119"/>
    <s v="Fruits &amp; Vegetables"/>
    <s v="Jabbersphere"/>
    <x v="63"/>
    <n v="82"/>
    <n v="59"/>
    <n v="8"/>
    <d v="2024-11-20T00:00:00"/>
    <s v="07 Maple Wood Drive"/>
    <x v="37"/>
    <s v="Fulfilled"/>
    <n v="8"/>
    <n v="57"/>
    <s v="Reoeder required"/>
    <s v="Available"/>
  </r>
  <r>
    <s v="19-244-9890"/>
    <x v="29"/>
    <s v="Beverages"/>
    <s v="Wikido"/>
    <x v="33"/>
    <n v="22"/>
    <n v="98"/>
    <n v="30"/>
    <d v="2024-10-02T00:00:00"/>
    <s v="620 Mockingbird Pass"/>
    <x v="54"/>
    <s v="Pending"/>
    <n v="5"/>
    <n v="11"/>
    <s v="Sufficient"/>
    <s v="Available"/>
  </r>
  <r>
    <s v="01-839-6534"/>
    <x v="33"/>
    <s v="Grains &amp; Pulses"/>
    <s v="Tanoodle"/>
    <x v="61"/>
    <n v="28"/>
    <n v="76"/>
    <n v="3"/>
    <d v="2025-02-04T00:00:00"/>
    <s v="8 Hazelcrest Street"/>
    <x v="47"/>
    <s v="Pending"/>
    <n v="2"/>
    <n v="69"/>
    <s v="Sufficient"/>
    <s v="Available"/>
  </r>
  <r>
    <s v="58-229-1358"/>
    <x v="58"/>
    <s v="Dairy"/>
    <s v="Bubblebox"/>
    <x v="55"/>
    <n v="24"/>
    <n v="2"/>
    <n v="2.35"/>
    <d v="2024-09-11T00:00:00"/>
    <s v="1 Lillian Plaza"/>
    <x v="80"/>
    <s v="Pending"/>
    <n v="7"/>
    <n v="36"/>
    <s v="Reoeder required"/>
    <s v="Available"/>
  </r>
  <r>
    <s v="80-025-6757"/>
    <x v="103"/>
    <s v="Fruits &amp; Vegetables"/>
    <s v="Thoughtmix"/>
    <x v="43"/>
    <n v="29"/>
    <n v="100"/>
    <n v="5.5"/>
    <d v="2024-11-29T00:00:00"/>
    <s v="183 Algoma Trail"/>
    <x v="49"/>
    <s v="Pending"/>
    <n v="3"/>
    <n v="16"/>
    <s v="Sufficient"/>
    <s v="Available"/>
  </r>
  <r>
    <s v="35-031-1497"/>
    <x v="43"/>
    <s v="Beverages"/>
    <s v="Linklinks"/>
    <x v="53"/>
    <n v="68"/>
    <n v="20"/>
    <n v="12"/>
    <d v="2024-07-04T00:00:00"/>
    <s v="581 Oneill Crossing"/>
    <x v="39"/>
    <s v="Pending"/>
    <n v="8"/>
    <n v="51"/>
    <s v="Reoeder required"/>
    <s v="Available"/>
  </r>
  <r>
    <s v="26-629-5920"/>
    <x v="11"/>
    <s v="Bakery"/>
    <s v="Jetwire"/>
    <x v="47"/>
    <n v="6"/>
    <n v="88"/>
    <n v="3"/>
    <d v="2024-07-16T00:00:00"/>
    <s v="77563 Russell Lane"/>
    <x v="65"/>
    <s v="Fulfilled"/>
    <n v="5"/>
    <n v="9"/>
    <s v="Sufficient"/>
    <s v="Available"/>
  </r>
  <r>
    <s v="51-000-8113"/>
    <x v="85"/>
    <s v="Beverages"/>
    <s v="Vidoo"/>
    <x v="35"/>
    <n v="27"/>
    <n v="35"/>
    <n v="8"/>
    <d v="2025-01-31T00:00:00"/>
    <s v="51369 Dawn Hill"/>
    <x v="65"/>
    <s v="Pending"/>
    <n v="3"/>
    <n v="58"/>
    <s v="Reoeder required"/>
    <s v="Available"/>
  </r>
  <r>
    <s v="93-571-7294"/>
    <x v="0"/>
    <s v="Grains &amp; Pulses"/>
    <s v="Quire"/>
    <x v="87"/>
    <n v="94"/>
    <n v="7"/>
    <n v="4.3499999999999996"/>
    <d v="2024-11-03T00:00:00"/>
    <s v="76 Fisk Park"/>
    <x v="12"/>
    <s v="Fulfilled"/>
    <n v="3"/>
    <n v="40"/>
    <s v="Reoeder required"/>
    <s v="Available"/>
  </r>
  <r>
    <s v="48-770-6319"/>
    <x v="9"/>
    <s v="Dairy"/>
    <s v="Fivebridge"/>
    <x v="60"/>
    <n v="31"/>
    <n v="18"/>
    <n v="1"/>
    <d v="2024-11-21T00:00:00"/>
    <s v="34 Fremont Point"/>
    <x v="76"/>
    <s v="Pending"/>
    <n v="8"/>
    <n v="16"/>
    <s v="Sufficient"/>
    <s v="Available"/>
  </r>
  <r>
    <s v="74-818-3306"/>
    <x v="16"/>
    <s v="Fruits &amp; Vegetables"/>
    <s v="Eabox"/>
    <x v="1"/>
    <n v="70"/>
    <n v="98"/>
    <n v="2.4500000000000002"/>
    <d v="2024-07-27T00:00:00"/>
    <s v="62 Thackeray Center"/>
    <x v="28"/>
    <s v="Fulfilled"/>
    <n v="3"/>
    <n v="39"/>
    <s v="Reoeder required"/>
    <s v="Available"/>
  </r>
  <r>
    <s v="15-082-9124"/>
    <x v="106"/>
    <s v="Fruits &amp; Vegetables"/>
    <s v="LiveZ"/>
    <x v="52"/>
    <n v="35"/>
    <n v="19"/>
    <n v="5"/>
    <d v="2024-10-08T00:00:00"/>
    <s v="38 Dawn Street"/>
    <x v="65"/>
    <s v="Fulfilled"/>
    <n v="5"/>
    <n v="55"/>
    <s v="Sufficient"/>
    <s v="Available"/>
  </r>
  <r>
    <s v="66-854-5736"/>
    <x v="39"/>
    <s v="Fruits &amp; Vegetables"/>
    <s v="Vitz"/>
    <x v="21"/>
    <n v="57"/>
    <n v="11"/>
    <n v="5.8"/>
    <d v="2024-12-23T00:00:00"/>
    <s v="50880 Nobel Road"/>
    <x v="14"/>
    <s v="Fulfilled"/>
    <n v="8"/>
    <n v="100"/>
    <s v="Sufficient"/>
    <s v="Available"/>
  </r>
  <r>
    <s v="90-128-7973"/>
    <x v="2"/>
    <s v="Grains &amp; Pulses"/>
    <s v="Shuffletag"/>
    <x v="16"/>
    <n v="3"/>
    <n v="7"/>
    <n v="6.25"/>
    <d v="2024-10-31T00:00:00"/>
    <s v="46989 Crescent Oaks Junction"/>
    <x v="71"/>
    <s v="Pending"/>
    <n v="7"/>
    <n v="46"/>
    <s v="Sufficient"/>
    <s v="Available"/>
  </r>
  <r>
    <s v="60-198-7050"/>
    <x v="85"/>
    <s v="Beverages"/>
    <s v="Photobug"/>
    <x v="11"/>
    <n v="59"/>
    <n v="54"/>
    <n v="8"/>
    <d v="2024-11-24T00:00:00"/>
    <s v="5306 Arkansas Avenue"/>
    <x v="57"/>
    <s v="Pending"/>
    <n v="8"/>
    <n v="49"/>
    <s v="Reoeder required"/>
    <s v="Available"/>
  </r>
  <r>
    <s v="70-206-4860"/>
    <x v="22"/>
    <s v="Dairy"/>
    <s v="Meejo"/>
    <x v="81"/>
    <n v="68"/>
    <n v="71"/>
    <n v="0.8"/>
    <d v="2024-03-11T00:00:00"/>
    <s v="75 High Crossing Junction"/>
    <x v="43"/>
    <s v="Fulfilled"/>
    <n v="5"/>
    <n v="37"/>
    <s v="Sufficient"/>
    <s v="Available"/>
  </r>
  <r>
    <s v="25-353-2067"/>
    <x v="108"/>
    <s v="Fruits &amp; Vegetables"/>
    <s v="Brightbean"/>
    <x v="19"/>
    <n v="16"/>
    <n v="69"/>
    <n v="4.3"/>
    <d v="2024-08-04T00:00:00"/>
    <s v="59449 Sherman Parkway"/>
    <x v="61"/>
    <s v="Fulfilled"/>
    <n v="2"/>
    <n v="96"/>
    <s v="Sufficient"/>
    <s v="Available"/>
  </r>
  <r>
    <s v="93-218-8108"/>
    <x v="52"/>
    <s v="Dairy"/>
    <s v="Talane"/>
    <x v="59"/>
    <n v="60"/>
    <n v="27"/>
    <n v="4"/>
    <d v="2024-05-22T00:00:00"/>
    <s v="9848 Little Fleur Point"/>
    <x v="77"/>
    <s v="Pending"/>
    <n v="8"/>
    <n v="68"/>
    <s v="Sufficient"/>
    <s v="Available"/>
  </r>
  <r>
    <s v="95-262-6208"/>
    <x v="46"/>
    <s v="Beverages"/>
    <s v="Devshare"/>
    <x v="26"/>
    <n v="78"/>
    <n v="90"/>
    <n v="5"/>
    <d v="2024-04-15T00:00:00"/>
    <s v="44662 American Plaza"/>
    <x v="53"/>
    <s v="Pending"/>
    <n v="5"/>
    <n v="84"/>
    <s v="Reoeder required"/>
    <s v="Available"/>
  </r>
  <r>
    <s v="02-484-0206"/>
    <x v="33"/>
    <s v="Grains &amp; Pulses"/>
    <s v="Quatz"/>
    <x v="56"/>
    <n v="97"/>
    <n v="91"/>
    <n v="3"/>
    <d v="2024-08-20T00:00:00"/>
    <s v="60 Main Pass"/>
    <x v="67"/>
    <s v="Fulfilled"/>
    <n v="8"/>
    <n v="100"/>
    <s v="Reoeder required"/>
    <s v="Available"/>
  </r>
  <r>
    <s v="08-226-5155"/>
    <x v="53"/>
    <s v="Fruits &amp; Vegetables"/>
    <s v="Zava"/>
    <x v="16"/>
    <n v="93"/>
    <n v="15"/>
    <n v="4.5"/>
    <d v="2024-05-01T00:00:00"/>
    <s v="81503 Graedel Plaza"/>
    <x v="20"/>
    <s v="Pending"/>
    <n v="3"/>
    <n v="31"/>
    <s v="Reoeder required"/>
    <s v="Available"/>
  </r>
  <r>
    <s v="47-581-0363"/>
    <x v="20"/>
    <s v="Dairy"/>
    <s v="Tagpad"/>
    <x v="47"/>
    <n v="10"/>
    <n v="88"/>
    <n v="12"/>
    <d v="2024-12-05T00:00:00"/>
    <s v="8 Dawn Court"/>
    <x v="12"/>
    <s v="Fulfilled"/>
    <n v="3"/>
    <n v="98"/>
    <s v="Sufficient"/>
    <s v="Available"/>
  </r>
  <r>
    <s v="04-104-6993"/>
    <x v="83"/>
    <s v="Dairy"/>
    <s v="Trilia"/>
    <x v="34"/>
    <n v="1"/>
    <n v="42"/>
    <n v="2.4500000000000002"/>
    <d v="2024-08-27T00:00:00"/>
    <s v="55095 Northview Drive"/>
    <x v="27"/>
    <s v="Fulfilled"/>
    <n v="2"/>
    <n v="91"/>
    <s v="Sufficient"/>
    <s v="Available"/>
  </r>
  <r>
    <s v="45-380-4627"/>
    <x v="19"/>
    <s v="Fruits &amp; Vegetables"/>
    <s v="Zoombox"/>
    <x v="82"/>
    <n v="1"/>
    <n v="40"/>
    <n v="0.9"/>
    <d v="2025-01-11T00:00:00"/>
    <s v="0 Thackeray Point"/>
    <x v="20"/>
    <s v="Fulfilled"/>
    <n v="6"/>
    <n v="19"/>
    <s v="Sufficient"/>
    <s v="Available"/>
  </r>
  <r>
    <s v="41-240-8856"/>
    <x v="30"/>
    <s v="Seafood"/>
    <s v="Snaptags"/>
    <x v="70"/>
    <n v="53"/>
    <n v="12"/>
    <n v="9"/>
    <d v="2024-05-29T00:00:00"/>
    <s v="8 Autumn Leaf Drive"/>
    <x v="78"/>
    <s v="Fulfilled"/>
    <n v="3"/>
    <n v="95"/>
    <s v="Sufficient"/>
    <s v="Available"/>
  </r>
  <r>
    <s v="81-573-0943"/>
    <x v="120"/>
    <s v="Dairy"/>
    <s v="Topiclounge"/>
    <x v="0"/>
    <n v="58"/>
    <n v="2"/>
    <n v="0.2"/>
    <d v="2024-06-28T00:00:00"/>
    <s v="20 Marcy Circle"/>
    <x v="55"/>
    <s v="Pending"/>
    <n v="5"/>
    <n v="68"/>
    <s v="Reoeder required"/>
    <s v="Available"/>
  </r>
  <r>
    <s v="67-725-6830"/>
    <x v="104"/>
    <s v="Grains &amp; Pulses"/>
    <s v="Quinu"/>
    <x v="37"/>
    <n v="47"/>
    <n v="6"/>
    <n v="2.5"/>
    <d v="2024-08-11T00:00:00"/>
    <s v="9 Victoria Point"/>
    <x v="59"/>
    <s v="Pending"/>
    <n v="4"/>
    <n v="4"/>
    <s v="Sufficient"/>
    <s v="Available"/>
  </r>
  <r>
    <s v="55-154-4728"/>
    <x v="1"/>
    <s v="Beverages"/>
    <s v="Yotz"/>
    <x v="17"/>
    <n v="63"/>
    <n v="41"/>
    <n v="20"/>
    <d v="2025-01-07T00:00:00"/>
    <s v="96 Westridge Junction"/>
    <x v="64"/>
    <s v="Fulfilled"/>
    <n v="4"/>
    <n v="26"/>
    <s v="Sufficient"/>
    <s v="Available"/>
  </r>
  <r>
    <s v="41-526-4036"/>
    <x v="68"/>
    <s v="Dairy"/>
    <s v="Flashset"/>
    <x v="5"/>
    <n v="25"/>
    <n v="87"/>
    <n v="4"/>
    <d v="2024-03-02T00:00:00"/>
    <s v="38726 Gina Pass"/>
    <x v="12"/>
    <s v="Pending"/>
    <n v="5"/>
    <n v="48"/>
    <s v="Sufficient"/>
    <s v="Available"/>
  </r>
  <r>
    <s v="86-273-9377"/>
    <x v="77"/>
    <s v="Grains &amp; Pulses"/>
    <s v="Eimbee"/>
    <x v="27"/>
    <n v="86"/>
    <n v="20"/>
    <n v="1.8"/>
    <d v="2024-12-04T00:00:00"/>
    <s v="1 Hollow Ridge Park"/>
    <x v="44"/>
    <s v="Pending"/>
    <n v="3"/>
    <n v="34"/>
    <s v="Reoeder required"/>
    <s v="Available"/>
  </r>
  <r>
    <s v="98-499-2220"/>
    <x v="20"/>
    <s v="Dairy"/>
    <s v="Skidoo"/>
    <x v="4"/>
    <n v="3"/>
    <n v="45"/>
    <n v="12"/>
    <d v="2024-04-22T00:00:00"/>
    <s v="27 School Court"/>
    <x v="34"/>
    <s v="Pending"/>
    <n v="6"/>
    <n v="28"/>
    <s v="Sufficient"/>
    <s v="Available"/>
  </r>
  <r>
    <s v="50-930-4751"/>
    <x v="115"/>
    <s v="Seafood"/>
    <s v="Abata"/>
    <x v="20"/>
    <n v="40"/>
    <n v="29"/>
    <n v="15"/>
    <d v="2024-06-24T00:00:00"/>
    <s v="80380 Valley Edge Road"/>
    <x v="40"/>
    <s v="Pending"/>
    <n v="1"/>
    <n v="87"/>
    <s v="Sufficient"/>
    <s v="Available"/>
  </r>
  <r>
    <s v="88-304-2855"/>
    <x v="27"/>
    <s v="Fruits &amp; Vegetables"/>
    <s v="Brainverse"/>
    <x v="53"/>
    <n v="51"/>
    <n v="33"/>
    <n v="3.5"/>
    <d v="2025-01-24T00:00:00"/>
    <s v="0 Delladonna Place"/>
    <x v="62"/>
    <s v="Pending"/>
    <n v="8"/>
    <n v="41"/>
    <s v="Reoeder required"/>
    <s v="Available"/>
  </r>
  <r>
    <s v="69-743-0161"/>
    <x v="14"/>
    <s v="Grains &amp; Pulses"/>
    <s v="Twitterwire"/>
    <x v="47"/>
    <n v="54"/>
    <n v="71"/>
    <n v="1.5"/>
    <d v="2024-08-14T00:00:00"/>
    <s v="583 Loftsgordon Road"/>
    <x v="62"/>
    <s v="Fulfilled"/>
    <n v="8"/>
    <n v="10"/>
    <s v="Sufficient"/>
    <s v="Available"/>
  </r>
  <r>
    <s v="40-902-1995"/>
    <x v="91"/>
    <s v="Fruits &amp; Vegetables"/>
    <s v="Zoomzone"/>
    <x v="29"/>
    <n v="88"/>
    <n v="20"/>
    <n v="4.8"/>
    <d v="2024-12-08T00:00:00"/>
    <s v="1519 Delaware Court"/>
    <x v="22"/>
    <s v="Pending"/>
    <n v="4"/>
    <n v="79"/>
    <s v="Reoeder required"/>
    <s v="Available"/>
  </r>
  <r>
    <s v="50-329-3360"/>
    <x v="114"/>
    <s v="Grains &amp; Pulses"/>
    <s v="Topdrive"/>
    <x v="26"/>
    <n v="77"/>
    <n v="66"/>
    <n v="10"/>
    <d v="2025-02-16T00:00:00"/>
    <s v="72 Crownhardt Circle"/>
    <x v="4"/>
    <s v="Pending"/>
    <n v="4"/>
    <n v="100"/>
    <s v="Reoeder required"/>
    <s v="Available"/>
  </r>
  <r>
    <s v="03-441-4252"/>
    <x v="109"/>
    <s v="Dairy"/>
    <s v="Wordpedia"/>
    <x v="3"/>
    <n v="83"/>
    <n v="93"/>
    <n v="1.75"/>
    <d v="2024-06-28T00:00:00"/>
    <s v="6 Bobwhite Alley"/>
    <x v="70"/>
    <s v="Pending"/>
    <n v="4"/>
    <n v="9"/>
    <s v="Reoeder required"/>
    <s v="Available"/>
  </r>
  <r>
    <s v="97-093-4278"/>
    <x v="83"/>
    <s v="Dairy"/>
    <s v="Twitterlist"/>
    <x v="79"/>
    <n v="98"/>
    <n v="89"/>
    <n v="2.5499999999999998"/>
    <d v="2024-04-09T00:00:00"/>
    <s v="467 Dexter Pass"/>
    <x v="18"/>
    <s v="Fulfilled"/>
    <n v="5"/>
    <n v="34"/>
    <s v="Reoeder required"/>
    <s v="Available"/>
  </r>
  <r>
    <s v="01-820-5784"/>
    <x v="9"/>
    <s v="Dairy"/>
    <s v="Skipfire"/>
    <x v="21"/>
    <n v="38"/>
    <n v="77"/>
    <n v="1"/>
    <d v="2025-02-12T00:00:00"/>
    <s v="6982 Crownhardt Circle"/>
    <x v="61"/>
    <s v="Fulfilled"/>
    <n v="5"/>
    <n v="18"/>
    <s v="Sufficient"/>
    <s v="Available"/>
  </r>
  <r>
    <s v="31-803-5001"/>
    <x v="91"/>
    <s v="Fruits &amp; Vegetables"/>
    <s v="Voonder"/>
    <x v="87"/>
    <n v="16"/>
    <n v="37"/>
    <n v="4.7"/>
    <d v="2024-12-04T00:00:00"/>
    <s v="64 1st Plaza"/>
    <x v="28"/>
    <s v="Fulfilled"/>
    <n v="8"/>
    <n v="96"/>
    <s v="Sufficient"/>
    <s v="Available"/>
  </r>
  <r>
    <s v="61-317-9944"/>
    <x v="42"/>
    <s v="Bakery"/>
    <s v="Skivee"/>
    <x v="18"/>
    <n v="20"/>
    <n v="71"/>
    <n v="2.5"/>
    <d v="2024-05-17T00:00:00"/>
    <s v="21844 Artisan Trail"/>
    <x v="80"/>
    <s v="Pending"/>
    <n v="2"/>
    <n v="68"/>
    <s v="Sufficient"/>
    <s v="Available"/>
  </r>
  <r>
    <s v="56-303-5256"/>
    <x v="114"/>
    <s v="Grains &amp; Pulses"/>
    <s v="Babbleopia"/>
    <x v="62"/>
    <n v="24"/>
    <n v="25"/>
    <n v="10"/>
    <d v="2024-11-17T00:00:00"/>
    <s v="3 Hermina Circle"/>
    <x v="71"/>
    <s v="Pending"/>
    <n v="5"/>
    <n v="26"/>
    <s v="Sufficient"/>
    <s v="Available"/>
  </r>
  <r>
    <s v="86-672-4191"/>
    <x v="7"/>
    <s v="Dairy"/>
    <s v="Einti"/>
    <x v="20"/>
    <n v="22"/>
    <n v="61"/>
    <n v="2.5"/>
    <d v="2024-09-29T00:00:00"/>
    <s v="18 Troy Avenue"/>
    <x v="46"/>
    <s v="Fulfilled"/>
    <n v="2"/>
    <n v="100"/>
    <s v="Sufficient"/>
    <s v="Available"/>
  </r>
  <r>
    <s v="34-547-0827"/>
    <x v="77"/>
    <s v="Grains &amp; Pulses"/>
    <s v="Wikibox"/>
    <x v="13"/>
    <n v="53"/>
    <n v="33"/>
    <n v="1.8"/>
    <d v="2025-01-17T00:00:00"/>
    <s v="18 Comanche Junction"/>
    <x v="24"/>
    <s v="Pending"/>
    <n v="4"/>
    <n v="82"/>
    <s v="Sufficient"/>
    <s v="Available"/>
  </r>
  <r>
    <s v="20-387-7746"/>
    <x v="86"/>
    <s v="Grains &amp; Pulses"/>
    <s v="Aivee"/>
    <x v="56"/>
    <n v="10"/>
    <n v="100"/>
    <n v="2.5"/>
    <d v="2024-06-05T00:00:00"/>
    <s v="9050 Dorton Pass"/>
    <x v="23"/>
    <s v="Pending"/>
    <n v="3"/>
    <n v="52"/>
    <s v="Sufficient"/>
    <s v="Available"/>
  </r>
  <r>
    <s v="50-329-3145"/>
    <x v="102"/>
    <s v="Dairy"/>
    <s v="Jatri"/>
    <x v="3"/>
    <n v="54"/>
    <n v="48"/>
    <n v="1"/>
    <d v="2024-12-20T00:00:00"/>
    <s v="591 Maple Wood Drive"/>
    <x v="2"/>
    <s v="Pending"/>
    <n v="3"/>
    <n v="88"/>
    <s v="Reoeder required"/>
    <s v="Available"/>
  </r>
  <r>
    <s v="02-559-8196"/>
    <x v="34"/>
    <s v="Fruits &amp; Vegetables"/>
    <s v="Jaxnation"/>
    <x v="33"/>
    <n v="14"/>
    <n v="49"/>
    <n v="5.2"/>
    <d v="2024-12-12T00:00:00"/>
    <s v="545 Linden Alley"/>
    <x v="49"/>
    <s v="Pending"/>
    <n v="5"/>
    <n v="35"/>
    <s v="Sufficient"/>
    <s v="Available"/>
  </r>
  <r>
    <s v="69-834-2874"/>
    <x v="24"/>
    <s v="Bakery"/>
    <s v="Skajo"/>
    <x v="44"/>
    <n v="62"/>
    <n v="81"/>
    <n v="5"/>
    <d v="2024-06-25T00:00:00"/>
    <s v="39 Oxford Drive"/>
    <x v="64"/>
    <s v="Fulfilled"/>
    <n v="4"/>
    <n v="30"/>
    <s v="Reoeder required"/>
    <s v="Available"/>
  </r>
  <r>
    <s v="27-474-0056"/>
    <x v="16"/>
    <s v="Fruits &amp; Vegetables"/>
    <s v="Feedfish"/>
    <x v="65"/>
    <n v="6"/>
    <n v="40"/>
    <n v="2.5"/>
    <d v="2024-12-19T00:00:00"/>
    <s v="538 Bayside Parkway"/>
    <x v="3"/>
    <s v="Pending"/>
    <n v="6"/>
    <n v="24"/>
    <s v="Sufficient"/>
    <s v="Available"/>
  </r>
  <r>
    <s v="66-378-7532"/>
    <x v="60"/>
    <s v="Fruits &amp; Vegetables"/>
    <s v="Flipbug"/>
    <x v="89"/>
    <n v="51"/>
    <n v="67"/>
    <n v="10"/>
    <d v="2024-06-05T00:00:00"/>
    <s v="88678 Bayside Park"/>
    <x v="79"/>
    <s v="Fulfilled"/>
    <n v="7"/>
    <n v="100"/>
    <s v="Sufficient"/>
    <s v="Available"/>
  </r>
  <r>
    <s v="28-185-7303"/>
    <x v="93"/>
    <s v="Beverages"/>
    <s v="Yozio"/>
    <x v="43"/>
    <n v="31"/>
    <n v="3"/>
    <n v="10"/>
    <d v="2025-01-21T00:00:00"/>
    <s v="25696 Westerfield Alley"/>
    <x v="67"/>
    <s v="Fulfilled"/>
    <n v="6"/>
    <n v="51"/>
    <s v="Sufficient"/>
    <s v="Available"/>
  </r>
  <r>
    <s v="19-854-3663"/>
    <x v="94"/>
    <s v="Fruits &amp; Vegetables"/>
    <s v="Dabjam"/>
    <x v="48"/>
    <n v="88"/>
    <n v="11"/>
    <n v="3"/>
    <d v="2024-05-05T00:00:00"/>
    <s v="4 Dakota Avenue"/>
    <x v="10"/>
    <s v="Pending"/>
    <n v="4"/>
    <n v="52"/>
    <s v="Reoeder required"/>
    <s v="Available"/>
  </r>
  <r>
    <s v="42-175-1648"/>
    <x v="75"/>
    <s v="Fruits &amp; Vegetables"/>
    <s v="Browsetype"/>
    <x v="19"/>
    <n v="87"/>
    <n v="15"/>
    <n v="6"/>
    <d v="2025-01-25T00:00:00"/>
    <s v="72778 Loftsgordon Center"/>
    <x v="24"/>
    <s v="Pending"/>
    <n v="6"/>
    <n v="10"/>
    <s v="Reoeder required"/>
    <s v="Available"/>
  </r>
  <r>
    <s v="56-657-4387"/>
    <x v="42"/>
    <s v="Bakery"/>
    <s v="Meevee"/>
    <x v="33"/>
    <n v="77"/>
    <n v="45"/>
    <n v="2.5"/>
    <d v="2024-02-29T00:00:00"/>
    <s v="5 Lyons Street"/>
    <x v="32"/>
    <s v="Fulfilled"/>
    <n v="6"/>
    <n v="48"/>
    <s v="Reoeder required"/>
    <s v="Available"/>
  </r>
  <r>
    <s v="05-720-8792"/>
    <x v="45"/>
    <s v="Fruits &amp; Vegetables"/>
    <s v="Linkbridge"/>
    <x v="76"/>
    <n v="91"/>
    <n v="36"/>
    <n v="1.5"/>
    <d v="2024-07-08T00:00:00"/>
    <s v="2 Northview Avenue"/>
    <x v="68"/>
    <s v="Pending"/>
    <n v="4"/>
    <n v="74"/>
    <s v="Reoeder required"/>
    <s v="Available"/>
  </r>
  <r>
    <s v="84-151-2114"/>
    <x v="104"/>
    <s v="Grains &amp; Pulses"/>
    <s v="Avamm"/>
    <x v="30"/>
    <n v="57"/>
    <n v="54"/>
    <n v="2.5"/>
    <d v="2024-03-06T00:00:00"/>
    <s v="12 Rigney Street"/>
    <x v="76"/>
    <s v="Pending"/>
    <n v="7"/>
    <n v="32"/>
    <s v="Reoeder required"/>
    <s v="Available"/>
  </r>
  <r>
    <s v="10-378-9729"/>
    <x v="19"/>
    <m/>
    <s v="Rooxo"/>
    <x v="79"/>
    <n v="21"/>
    <n v="68"/>
    <n v="66.55"/>
    <d v="2024-11-26T00:00:00"/>
    <s v="2 Butterfield Pass"/>
    <x v="66"/>
    <s v="Fulfilled"/>
    <n v="1"/>
    <n v="35"/>
    <s v="Sufficient"/>
    <s v="Available"/>
  </r>
  <r>
    <s v="53-930-2215"/>
    <x v="7"/>
    <s v="Dairy"/>
    <s v="Gabvine"/>
    <x v="34"/>
    <n v="43"/>
    <n v="32"/>
    <n v="2.5"/>
    <d v="2024-10-04T00:00:00"/>
    <s v="292 Utah Street"/>
    <x v="76"/>
    <s v="Pending"/>
    <n v="4"/>
    <n v="60"/>
    <s v="Sufficient"/>
    <s v="Available"/>
  </r>
  <r>
    <s v="02-034-6209"/>
    <x v="84"/>
    <s v="Dairy"/>
    <s v="Yodel"/>
    <x v="0"/>
    <n v="43"/>
    <n v="3"/>
    <n v="4.0999999999999996"/>
    <d v="2024-07-26T00:00:00"/>
    <s v="96 Brown Drive"/>
    <x v="78"/>
    <s v="Pending"/>
    <n v="2"/>
    <n v="87"/>
    <s v="Reoeder required"/>
    <s v="Available"/>
  </r>
  <r>
    <s v="28-003-8065"/>
    <x v="69"/>
    <s v="Grains &amp; Pulses"/>
    <s v="Voonte"/>
    <x v="70"/>
    <n v="47"/>
    <n v="51"/>
    <n v="9.5"/>
    <d v="2025-02-16T00:00:00"/>
    <s v="65 Merry Circle"/>
    <x v="48"/>
    <s v="Pending"/>
    <n v="2"/>
    <n v="69"/>
    <s v="Sufficient"/>
    <s v="Available"/>
  </r>
  <r>
    <s v="19-021-5024"/>
    <x v="50"/>
    <s v="Fruits &amp; Vegetables"/>
    <s v="Rhyzio"/>
    <x v="28"/>
    <n v="63"/>
    <n v="86"/>
    <n v="4"/>
    <d v="2025-02-13T00:00:00"/>
    <s v="4 Heffernan Lane"/>
    <x v="50"/>
    <s v="Pending"/>
    <n v="6"/>
    <n v="29"/>
    <s v="Reoeder required"/>
    <s v="Available"/>
  </r>
  <r>
    <s v="07-846-4804"/>
    <x v="65"/>
    <s v="Grains &amp; Pulses"/>
    <s v="Tagcat"/>
    <x v="53"/>
    <n v="25"/>
    <n v="73"/>
    <n v="4.75"/>
    <d v="2024-07-02T00:00:00"/>
    <s v="2 Fair Oaks Pass"/>
    <x v="16"/>
    <s v="Pending"/>
    <n v="2"/>
    <n v="1"/>
    <s v="Reoeder required"/>
    <s v="Available"/>
  </r>
  <r>
    <s v="70-542-4269"/>
    <x v="81"/>
    <s v="Dairy"/>
    <s v="Gigazoom"/>
    <x v="41"/>
    <n v="22"/>
    <n v="11"/>
    <n v="7"/>
    <d v="2024-04-23T00:00:00"/>
    <s v="7 Victoria Hill"/>
    <x v="52"/>
    <s v="Pending"/>
    <n v="4"/>
    <n v="30"/>
    <s v="Sufficient"/>
    <s v="Available"/>
  </r>
  <r>
    <s v="52-797-6961"/>
    <x v="70"/>
    <s v="Seafood"/>
    <s v="Plajo"/>
    <x v="29"/>
    <n v="80"/>
    <n v="88"/>
    <n v="7"/>
    <d v="2024-06-07T00:00:00"/>
    <s v="13799 Quincy Park"/>
    <x v="4"/>
    <s v="Pending"/>
    <n v="5"/>
    <n v="22"/>
    <s v="Reoeder required"/>
    <s v="Available"/>
  </r>
  <r>
    <s v="66-327-2821"/>
    <x v="63"/>
    <s v="Oils &amp; Fats"/>
    <s v="Skipstorm"/>
    <x v="38"/>
    <n v="57"/>
    <n v="36"/>
    <n v="1.8"/>
    <d v="2024-04-10T00:00:00"/>
    <s v="703 Hermina Center"/>
    <x v="16"/>
    <s v="Pending"/>
    <n v="4"/>
    <n v="60"/>
    <s v="Sufficient"/>
    <s v="Available"/>
  </r>
  <r>
    <s v="12-093-9863"/>
    <x v="54"/>
    <s v="Grains &amp; Pulses"/>
    <s v="Feednation"/>
    <x v="37"/>
    <n v="19"/>
    <n v="96"/>
    <n v="4.5"/>
    <d v="2025-02-09T00:00:00"/>
    <s v="6748 Mitchell Road"/>
    <x v="21"/>
    <s v="Pending"/>
    <n v="7"/>
    <n v="42"/>
    <s v="Sufficient"/>
    <s v="Available"/>
  </r>
  <r>
    <s v="08-396-2704"/>
    <x v="10"/>
    <s v="Grains &amp; Pulses"/>
    <s v="Cogibox"/>
    <x v="83"/>
    <n v="12"/>
    <n v="28"/>
    <n v="2"/>
    <d v="2024-04-01T00:00:00"/>
    <s v="160 Crowley Center"/>
    <x v="62"/>
    <s v="Pending"/>
    <n v="5"/>
    <n v="8"/>
    <s v="Sufficient"/>
    <s v="Available"/>
  </r>
  <r>
    <s v="72-970-0239"/>
    <x v="90"/>
    <s v="Oils &amp; Fats"/>
    <s v="Divanoodle"/>
    <x v="42"/>
    <n v="86"/>
    <n v="21"/>
    <n v="6.5"/>
    <d v="2024-07-24T00:00:00"/>
    <s v="73966 Pond Trail"/>
    <x v="16"/>
    <s v="Fulfilled"/>
    <n v="8"/>
    <n v="53"/>
    <s v="Reoeder required"/>
    <s v="Available"/>
  </r>
  <r>
    <s v="03-940-0630"/>
    <x v="97"/>
    <s v="Oils &amp; Fats"/>
    <s v="Skibox"/>
    <x v="65"/>
    <n v="43"/>
    <n v="75"/>
    <n v="2.5"/>
    <d v="2024-10-31T00:00:00"/>
    <s v="27408 Burning Wood Street"/>
    <x v="56"/>
    <s v="Pending"/>
    <n v="2"/>
    <n v="86"/>
    <s v="Reoeder required"/>
    <s v="Available"/>
  </r>
  <r>
    <s v="67-130-4114"/>
    <x v="53"/>
    <s v="Fruits &amp; Vegetables"/>
    <s v="Devcast"/>
    <x v="36"/>
    <n v="26"/>
    <n v="37"/>
    <n v="4.5"/>
    <d v="2024-02-27T00:00:00"/>
    <s v="9327 Hanover Way"/>
    <x v="17"/>
    <s v="Fulfilled"/>
    <n v="3"/>
    <n v="67"/>
    <s v="Sufficient"/>
    <s v="Available"/>
  </r>
  <r>
    <s v="32-270-1385"/>
    <x v="8"/>
    <s v="Fruits &amp; Vegetables"/>
    <s v="Quaxo"/>
    <x v="44"/>
    <n v="38"/>
    <n v="23"/>
    <n v="42.58"/>
    <d v="2024-12-15T00:00:00"/>
    <s v="0500 Calypso Pass"/>
    <x v="67"/>
    <s v="Pending"/>
    <n v="8"/>
    <n v="56"/>
    <s v="Reoeder required"/>
    <s v="Available"/>
  </r>
  <r>
    <s v="85-510-2915"/>
    <x v="42"/>
    <s v="Bakery"/>
    <s v="Mybuzz"/>
    <x v="10"/>
    <n v="49"/>
    <n v="38"/>
    <n v="2.5"/>
    <d v="2024-05-29T00:00:00"/>
    <s v="8 Merrick Lane"/>
    <x v="27"/>
    <s v="Fulfilled"/>
    <n v="4"/>
    <n v="44"/>
    <s v="Sufficient"/>
    <s v="Available"/>
  </r>
  <r>
    <s v="00-842-9790"/>
    <x v="7"/>
    <s v="Dairy"/>
    <s v="Oba"/>
    <x v="17"/>
    <n v="94"/>
    <n v="4"/>
    <n v="2.5"/>
    <d v="2025-01-30T00:00:00"/>
    <s v="53894 Myrtle Place"/>
    <x v="15"/>
    <s v="Pending"/>
    <n v="8"/>
    <n v="36"/>
    <s v="Reoeder required"/>
    <s v="Available"/>
  </r>
  <r>
    <s v="49-377-9731"/>
    <x v="98"/>
    <s v="Fruits &amp; Vegetables"/>
    <s v="Livefish"/>
    <x v="27"/>
    <n v="8"/>
    <n v="68"/>
    <n v="2"/>
    <d v="2024-10-03T00:00:00"/>
    <s v="3 Meadow Valley Court"/>
    <x v="46"/>
    <s v="Pending"/>
    <n v="3"/>
    <n v="45"/>
    <s v="Sufficient"/>
    <s v="Available"/>
  </r>
  <r>
    <s v="96-682-8546"/>
    <x v="120"/>
    <s v="Dairy"/>
    <s v="Kaymbo"/>
    <x v="67"/>
    <n v="29"/>
    <n v="24"/>
    <n v="0.2"/>
    <d v="2024-10-26T00:00:00"/>
    <s v="97 Walton Avenue"/>
    <x v="4"/>
    <s v="Fulfilled"/>
    <n v="1"/>
    <n v="55"/>
    <s v="Sufficient"/>
    <s v="Available"/>
  </r>
  <r>
    <s v="92-837-8839"/>
    <x v="87"/>
    <s v="Oils &amp; Fats"/>
    <s v="Yoveo"/>
    <x v="65"/>
    <n v="71"/>
    <n v="32"/>
    <n v="2"/>
    <d v="2025-01-16T00:00:00"/>
    <s v="95 Lerdahl Park"/>
    <x v="13"/>
    <s v="Pending"/>
    <n v="6"/>
    <n v="23"/>
    <s v="Reoeder required"/>
    <s v="Available"/>
  </r>
  <r>
    <s v="68-732-5919"/>
    <x v="65"/>
    <s v="Grains &amp; Pulses"/>
    <s v="Eimbee"/>
    <x v="11"/>
    <n v="83"/>
    <n v="24"/>
    <n v="4.75"/>
    <d v="2024-10-29T00:00:00"/>
    <s v="56 Bonner Point"/>
    <x v="71"/>
    <s v="Pending"/>
    <n v="5"/>
    <n v="12"/>
    <s v="Reoeder required"/>
    <s v="Available"/>
  </r>
  <r>
    <s v="37-064-7275"/>
    <x v="93"/>
    <s v="Beverages"/>
    <s v="Skiptube"/>
    <x v="53"/>
    <n v="42"/>
    <n v="45"/>
    <n v="10"/>
    <d v="2024-06-25T00:00:00"/>
    <s v="149 Lawn Way"/>
    <x v="53"/>
    <s v="Pending"/>
    <n v="4"/>
    <n v="28"/>
    <s v="Reoeder required"/>
    <s v="Available"/>
  </r>
  <r>
    <s v="43-193-9915"/>
    <x v="49"/>
    <s v="Dairy"/>
    <s v="Roodel"/>
    <x v="5"/>
    <n v="58"/>
    <n v="6"/>
    <n v="7.2"/>
    <d v="2024-07-12T00:00:00"/>
    <s v="61 Transport Parkway"/>
    <x v="67"/>
    <s v="Fulfilled"/>
    <n v="7"/>
    <n v="17"/>
    <s v="Reoeder required"/>
    <s v="Available"/>
  </r>
  <r>
    <s v="45-992-5653"/>
    <x v="92"/>
    <s v="Grains &amp; Pulses"/>
    <s v="Jaxworks"/>
    <x v="45"/>
    <n v="67"/>
    <n v="67"/>
    <n v="2.75"/>
    <d v="2024-07-07T00:00:00"/>
    <s v="5 Fisk Point"/>
    <x v="51"/>
    <s v="Fulfilled"/>
    <n v="2"/>
    <n v="1"/>
    <s v="Sufficient"/>
    <s v="Available"/>
  </r>
  <r>
    <s v="45-852-2446"/>
    <x v="115"/>
    <s v="Seafood"/>
    <s v="Fanoodle"/>
    <x v="49"/>
    <n v="12"/>
    <n v="28"/>
    <n v="15"/>
    <d v="2024-06-08T00:00:00"/>
    <s v="56 Petterle Circle"/>
    <x v="72"/>
    <s v="Pending"/>
    <n v="4"/>
    <n v="92"/>
    <s v="Sufficient"/>
    <s v="Available"/>
  </r>
  <r>
    <s v="57-394-4703"/>
    <x v="48"/>
    <s v="Beverages"/>
    <s v="Agivu"/>
    <x v="19"/>
    <n v="83"/>
    <n v="36"/>
    <n v="25"/>
    <d v="2025-01-07T00:00:00"/>
    <s v="38 Banding Lane"/>
    <x v="49"/>
    <s v="Fulfilled"/>
    <n v="5"/>
    <n v="86"/>
    <s v="Reoeder required"/>
    <s v="Available"/>
  </r>
  <r>
    <s v="07-679-1199"/>
    <x v="31"/>
    <s v="Fruits &amp; Vegetables"/>
    <s v="Wikizz"/>
    <x v="53"/>
    <n v="65"/>
    <n v="61"/>
    <n v="2"/>
    <d v="2024-07-10T00:00:00"/>
    <s v="1991 Kropf Way"/>
    <x v="32"/>
    <s v="Pending"/>
    <n v="2"/>
    <n v="78"/>
    <s v="Reoeder required"/>
    <s v="Available"/>
  </r>
  <r>
    <s v="47-221-3391"/>
    <x v="36"/>
    <s v="Beverages"/>
    <s v="Digitube"/>
    <x v="87"/>
    <n v="38"/>
    <n v="27"/>
    <n v="15"/>
    <d v="2024-07-09T00:00:00"/>
    <s v="0023 Upham Road"/>
    <x v="46"/>
    <s v="Fulfilled"/>
    <n v="6"/>
    <n v="42"/>
    <s v="Sufficient"/>
    <s v="Available"/>
  </r>
  <r>
    <s v="80-698-0324"/>
    <x v="56"/>
    <s v="Bakery"/>
    <s v="Bluejam"/>
    <x v="36"/>
    <n v="58"/>
    <n v="28"/>
    <n v="6"/>
    <d v="2025-02-04T00:00:00"/>
    <s v="7 Duke Parkway"/>
    <x v="32"/>
    <s v="Fulfilled"/>
    <n v="2"/>
    <n v="12"/>
    <s v="Sufficient"/>
    <s v="Available"/>
  </r>
  <r>
    <s v="36-383-3677"/>
    <x v="6"/>
    <s v="Oils &amp; Fats"/>
    <s v="Centizu"/>
    <x v="90"/>
    <n v="38"/>
    <n v="23"/>
    <n v="2.5"/>
    <d v="2024-05-29T00:00:00"/>
    <s v="7 Anzinger Lane"/>
    <x v="20"/>
    <s v="Pending"/>
    <n v="7"/>
    <n v="11"/>
    <s v="Reoeder required"/>
    <s v="Available"/>
  </r>
  <r>
    <s v="42-907-6946"/>
    <x v="117"/>
    <s v="Oils &amp; Fats"/>
    <s v="Bluejam"/>
    <x v="82"/>
    <n v="75"/>
    <n v="6"/>
    <n v="5"/>
    <d v="2025-01-01T00:00:00"/>
    <s v="093 Anhalt Crossing"/>
    <x v="79"/>
    <s v="Fulfilled"/>
    <n v="3"/>
    <n v="64"/>
    <s v="Sufficient"/>
    <s v="Available"/>
  </r>
  <r>
    <s v="96-209-1739"/>
    <x v="107"/>
    <s v="Dairy"/>
    <s v="Miboo"/>
    <x v="67"/>
    <n v="81"/>
    <n v="75"/>
    <n v="2"/>
    <d v="2024-02-27T00:00:00"/>
    <s v="779 Ridgeway Street"/>
    <x v="38"/>
    <s v="Fulfilled"/>
    <n v="3"/>
    <n v="54"/>
    <s v="Reoeder required"/>
    <s v="Available"/>
  </r>
  <r>
    <s v="36-679-4670"/>
    <x v="53"/>
    <s v="Fruits &amp; Vegetables"/>
    <s v="Fatz"/>
    <x v="82"/>
    <n v="22"/>
    <n v="20"/>
    <n v="4.5"/>
    <d v="2025-02-22T00:00:00"/>
    <s v="5 Warner Court"/>
    <x v="68"/>
    <s v="Fulfilled"/>
    <n v="4"/>
    <n v="88"/>
    <s v="Sufficient"/>
    <s v="Available"/>
  </r>
  <r>
    <s v="08-637-9335"/>
    <x v="71"/>
    <s v="Fruits &amp; Vegetables"/>
    <s v="Meemm"/>
    <x v="46"/>
    <n v="7"/>
    <n v="14"/>
    <n v="2"/>
    <d v="2024-03-06T00:00:00"/>
    <s v="9 Cardinal Alley"/>
    <x v="51"/>
    <s v="Fulfilled"/>
    <n v="3"/>
    <n v="33"/>
    <s v="Sufficient"/>
    <s v="Available"/>
  </r>
  <r>
    <s v="56-875-3717"/>
    <x v="104"/>
    <s v="Grains &amp; Pulses"/>
    <s v="Youtags"/>
    <x v="52"/>
    <n v="54"/>
    <n v="15"/>
    <n v="2.5"/>
    <d v="2024-08-01T00:00:00"/>
    <s v="32 Cottonwood Pass"/>
    <x v="44"/>
    <s v="Fulfilled"/>
    <n v="6"/>
    <n v="63"/>
    <s v="Sufficient"/>
    <s v="Available"/>
  </r>
  <r>
    <s v="86-978-6666"/>
    <x v="92"/>
    <s v="Grains &amp; Pulses"/>
    <s v="Dabjam"/>
    <x v="54"/>
    <n v="43"/>
    <n v="28"/>
    <n v="2.7"/>
    <d v="2024-07-26T00:00:00"/>
    <s v="21343 Brentwood Circle"/>
    <x v="5"/>
    <s v="Fulfilled"/>
    <n v="3"/>
    <n v="54"/>
    <s v="Reoeder required"/>
    <s v="Available"/>
  </r>
  <r>
    <s v="41-475-5305"/>
    <x v="11"/>
    <s v="Bakery"/>
    <s v="Kwideo"/>
    <x v="33"/>
    <n v="20"/>
    <n v="29"/>
    <n v="3"/>
    <d v="2024-03-13T00:00:00"/>
    <s v="88 Hooker Parkway"/>
    <x v="75"/>
    <s v="Pending"/>
    <n v="5"/>
    <n v="97"/>
    <s v="Sufficient"/>
    <s v="Available"/>
  </r>
  <r>
    <s v="25-911-7736"/>
    <x v="41"/>
    <s v="Fruits &amp; Vegetables"/>
    <s v="Oba"/>
    <x v="31"/>
    <n v="48"/>
    <n v="25"/>
    <n v="3"/>
    <d v="2024-08-17T00:00:00"/>
    <s v="72090 Northfield Place"/>
    <x v="40"/>
    <s v="Pending"/>
    <n v="7"/>
    <n v="65"/>
    <s v="Sufficient"/>
    <s v="Available"/>
  </r>
  <r>
    <s v="28-433-8533"/>
    <x v="38"/>
    <s v="Bakery"/>
    <s v="Topicware"/>
    <x v="89"/>
    <n v="70"/>
    <n v="77"/>
    <n v="3.2"/>
    <d v="2024-02-27T00:00:00"/>
    <s v="8 Mayer Trail"/>
    <x v="21"/>
    <s v="Fulfilled"/>
    <n v="7"/>
    <n v="44"/>
    <s v="Sufficient"/>
    <s v="Available"/>
  </r>
  <r>
    <s v="84-624-0201"/>
    <x v="14"/>
    <s v="Grains &amp; Pulses"/>
    <s v="Skaboo"/>
    <x v="86"/>
    <n v="77"/>
    <n v="30"/>
    <n v="1.5"/>
    <d v="2024-11-09T00:00:00"/>
    <s v="9 Eastlawn Crossing"/>
    <x v="5"/>
    <s v="Fulfilled"/>
    <n v="4"/>
    <n v="57"/>
    <s v="Reoeder required"/>
    <s v="Available"/>
  </r>
  <r>
    <s v="45-634-0679"/>
    <x v="30"/>
    <s v="Seafood"/>
    <s v="Rhybox"/>
    <x v="84"/>
    <n v="100"/>
    <n v="34"/>
    <n v="9"/>
    <d v="2024-02-28T00:00:00"/>
    <s v="9 Anhalt Trail"/>
    <x v="59"/>
    <s v="Fulfilled"/>
    <n v="1"/>
    <n v="20"/>
    <s v="Reoeder required"/>
    <s v="Available"/>
  </r>
  <r>
    <s v="93-014-4256"/>
    <x v="18"/>
    <s v="Fruits &amp; Vegetables"/>
    <s v="BlogXS"/>
    <x v="26"/>
    <n v="92"/>
    <n v="41"/>
    <n v="2"/>
    <d v="2025-01-11T00:00:00"/>
    <s v="6 Bay Road"/>
    <x v="32"/>
    <s v="Pending"/>
    <n v="5"/>
    <n v="79"/>
    <s v="Reoeder required"/>
    <s v="Available"/>
  </r>
  <r>
    <s v="24-989-3302"/>
    <x v="72"/>
    <s v="Fruits &amp; Vegetables"/>
    <s v="Eazzy"/>
    <x v="42"/>
    <n v="90"/>
    <n v="16"/>
    <n v="5"/>
    <d v="2024-06-03T00:00:00"/>
    <s v="736 Redwing Parkway"/>
    <x v="26"/>
    <s v="Fulfilled"/>
    <n v="5"/>
    <n v="80"/>
    <s v="Reoeder required"/>
    <s v="Available"/>
  </r>
  <r>
    <s v="46-415-8633"/>
    <x v="110"/>
    <s v="Fruits &amp; Vegetables"/>
    <s v="Omba"/>
    <x v="86"/>
    <n v="36"/>
    <n v="45"/>
    <n v="3.5"/>
    <d v="2024-11-17T00:00:00"/>
    <s v="5 Eggendart Parkway"/>
    <x v="80"/>
    <s v="Pending"/>
    <n v="8"/>
    <n v="2"/>
    <s v="Sufficient"/>
    <s v="Available"/>
  </r>
  <r>
    <s v="73-117-6105"/>
    <x v="104"/>
    <s v="Grains &amp; Pulses"/>
    <s v="Skipfire"/>
    <x v="7"/>
    <n v="48"/>
    <n v="77"/>
    <n v="2.5"/>
    <d v="2024-09-17T00:00:00"/>
    <s v="955 4th Road"/>
    <x v="6"/>
    <s v="Pending"/>
    <n v="4"/>
    <n v="79"/>
    <s v="Reoeder required"/>
    <s v="Available"/>
  </r>
  <r>
    <s v="53-710-7630"/>
    <x v="66"/>
    <s v="Grains &amp; Pulses"/>
    <s v="Livetube"/>
    <x v="71"/>
    <n v="95"/>
    <n v="71"/>
    <n v="2"/>
    <d v="2024-07-09T00:00:00"/>
    <s v="996 Thierer Center"/>
    <x v="38"/>
    <s v="Fulfilled"/>
    <n v="4"/>
    <n v="76"/>
    <s v="Reoeder required"/>
    <s v="Available"/>
  </r>
  <r>
    <s v="10-617-7581"/>
    <x v="59"/>
    <s v="Oils &amp; Fats"/>
    <s v="Devpulse"/>
    <x v="35"/>
    <n v="14"/>
    <n v="5"/>
    <n v="4"/>
    <d v="2024-03-30T00:00:00"/>
    <s v="0 Lawn Parkway"/>
    <x v="60"/>
    <s v="Pending"/>
    <n v="7"/>
    <n v="9"/>
    <s v="Sufficient"/>
    <s v="Available"/>
  </r>
  <r>
    <s v="66-312-5511"/>
    <x v="95"/>
    <s v="Seafood"/>
    <s v="Skipfire"/>
    <x v="7"/>
    <n v="97"/>
    <n v="76"/>
    <n v="10"/>
    <d v="2024-04-10T00:00:00"/>
    <s v="959 Dorton Pass"/>
    <x v="62"/>
    <s v="Pending"/>
    <n v="4"/>
    <n v="33"/>
    <s v="Reoeder required"/>
    <s v="Available"/>
  </r>
  <r>
    <s v="87-423-8486"/>
    <x v="86"/>
    <s v="Grains &amp; Pulses"/>
    <s v="Mybuzz"/>
    <x v="21"/>
    <n v="4"/>
    <n v="46"/>
    <n v="2.5"/>
    <d v="2024-03-21T00:00:00"/>
    <s v="5 Homewood Street"/>
    <x v="35"/>
    <s v="Fulfilled"/>
    <n v="2"/>
    <n v="69"/>
    <s v="Sufficient"/>
    <s v="Available"/>
  </r>
  <r>
    <s v="64-493-5270"/>
    <x v="63"/>
    <s v="Oils &amp; Fats"/>
    <s v="Dynabox"/>
    <x v="79"/>
    <n v="59"/>
    <n v="29"/>
    <n v="1.8"/>
    <d v="2024-05-23T00:00:00"/>
    <s v="4571 Fremont Way"/>
    <x v="13"/>
    <s v="Fulfilled"/>
    <n v="1"/>
    <n v="91"/>
    <s v="Sufficient"/>
    <s v="Available"/>
  </r>
  <r>
    <s v="31-255-9616"/>
    <x v="82"/>
    <s v="Seafood"/>
    <s v="Centimia"/>
    <x v="20"/>
    <n v="71"/>
    <n v="9"/>
    <n v="18"/>
    <d v="2024-12-28T00:00:00"/>
    <s v="9440 Coleman Drive"/>
    <x v="64"/>
    <s v="Fulfilled"/>
    <n v="3"/>
    <n v="14"/>
    <s v="Sufficient"/>
    <s v="Available"/>
  </r>
  <r>
    <s v="26-799-3714"/>
    <x v="93"/>
    <s v="Beverages"/>
    <s v="Mymm"/>
    <x v="59"/>
    <n v="2"/>
    <n v="45"/>
    <n v="10"/>
    <d v="2025-02-03T00:00:00"/>
    <s v="49225 Homewood Place"/>
    <x v="36"/>
    <s v="Fulfilled"/>
    <n v="7"/>
    <n v="99"/>
    <s v="Sufficient"/>
    <s v="Available"/>
  </r>
  <r>
    <s v="64-119-7804"/>
    <x v="53"/>
    <s v="Fruits &amp; Vegetables"/>
    <s v="Jaxbean"/>
    <x v="84"/>
    <n v="43"/>
    <n v="9"/>
    <n v="4.5"/>
    <d v="2024-03-06T00:00:00"/>
    <s v="06584 Mendota Avenue"/>
    <x v="52"/>
    <s v="Fulfilled"/>
    <n v="2"/>
    <n v="62"/>
    <s v="Sufficient"/>
    <s v="Available"/>
  </r>
  <r>
    <s v="74-181-4135"/>
    <x v="120"/>
    <s v="Dairy"/>
    <s v="Meembee"/>
    <x v="0"/>
    <n v="19"/>
    <n v="4"/>
    <n v="0.2"/>
    <d v="2024-03-17T00:00:00"/>
    <s v="79878 Katie Trail"/>
    <x v="74"/>
    <s v="Pending"/>
    <n v="4"/>
    <n v="24"/>
    <s v="Sufficient"/>
    <s v="Available"/>
  </r>
  <r>
    <s v="34-369-7712"/>
    <x v="106"/>
    <s v="Fruits &amp; Vegetables"/>
    <s v="Fivebridge"/>
    <x v="5"/>
    <n v="96"/>
    <n v="40"/>
    <n v="5"/>
    <d v="2024-05-11T00:00:00"/>
    <s v="0 Lerdahl Parkway"/>
    <x v="61"/>
    <s v="Fulfilled"/>
    <n v="1"/>
    <n v="47"/>
    <s v="Reoeder required"/>
    <s v="Available"/>
  </r>
  <r>
    <s v="31-157-1822"/>
    <x v="47"/>
    <s v="Dairy"/>
    <s v="Kwideo"/>
    <x v="6"/>
    <n v="80"/>
    <n v="20"/>
    <n v="6.1"/>
    <d v="2024-07-30T00:00:00"/>
    <s v="803 Cottonwood Crossing"/>
    <x v="24"/>
    <s v="Fulfilled"/>
    <n v="8"/>
    <n v="49"/>
    <s v="Sufficient"/>
    <s v="Available"/>
  </r>
  <r>
    <s v="27-459-0724"/>
    <x v="13"/>
    <s v="Dairy"/>
    <s v="Quaxo"/>
    <x v="8"/>
    <n v="7"/>
    <n v="64"/>
    <n v="7"/>
    <d v="2024-08-12T00:00:00"/>
    <s v="4 Duke Way"/>
    <x v="0"/>
    <s v="Fulfilled"/>
    <n v="5"/>
    <n v="65"/>
    <s v="Sufficient"/>
    <s v="Available"/>
  </r>
  <r>
    <s v="47-441-7682"/>
    <x v="99"/>
    <s v="Bakery"/>
    <s v="Vimbo"/>
    <x v="69"/>
    <n v="91"/>
    <n v="24"/>
    <n v="4"/>
    <d v="2024-12-12T00:00:00"/>
    <s v="4247 David Crossing"/>
    <x v="64"/>
    <s v="Fulfilled"/>
    <n v="2"/>
    <n v="47"/>
    <s v="Reoeder required"/>
    <s v="Available"/>
  </r>
  <r>
    <s v="32-676-1026"/>
    <x v="115"/>
    <s v="Seafood"/>
    <s v="Buzzshare"/>
    <x v="60"/>
    <n v="46"/>
    <n v="12"/>
    <n v="15"/>
    <d v="2024-06-04T00:00:00"/>
    <s v="9433 Jenna Lane"/>
    <x v="31"/>
    <s v="Fulfilled"/>
    <n v="5"/>
    <n v="34"/>
    <s v="Sufficient"/>
    <s v="Available"/>
  </r>
  <r>
    <s v="77-959-1018"/>
    <x v="71"/>
    <s v="Fruits &amp; Vegetables"/>
    <s v="Gigabox"/>
    <x v="0"/>
    <n v="22"/>
    <n v="65"/>
    <n v="2"/>
    <d v="2024-04-30T00:00:00"/>
    <s v="03 Ryan Circle"/>
    <x v="4"/>
    <s v="Pending"/>
    <n v="1"/>
    <n v="78"/>
    <s v="Reoeder required"/>
    <s v="Available"/>
  </r>
  <r>
    <s v="60-911-3745"/>
    <x v="2"/>
    <s v="Grains &amp; Pulses"/>
    <s v="Blognation"/>
    <x v="84"/>
    <n v="41"/>
    <n v="98"/>
    <n v="6.35"/>
    <d v="2024-08-31T00:00:00"/>
    <s v="75054 Ramsey Parkway"/>
    <x v="73"/>
    <s v="Fulfilled"/>
    <n v="7"/>
    <n v="75"/>
    <s v="Sufficient"/>
    <s v="Available"/>
  </r>
  <r>
    <s v="57-101-0060"/>
    <x v="92"/>
    <s v="Grains &amp; Pulses"/>
    <s v="Topicstorm"/>
    <x v="43"/>
    <n v="73"/>
    <n v="86"/>
    <n v="2.75"/>
    <d v="2025-01-01T00:00:00"/>
    <s v="78919 East Crossing"/>
    <x v="0"/>
    <s v="Fulfilled"/>
    <n v="7"/>
    <n v="56"/>
    <s v="Reoeder required"/>
    <s v="Available"/>
  </r>
  <r>
    <s v="54-758-4622"/>
    <x v="61"/>
    <s v="Bakery"/>
    <s v="Devcast"/>
    <x v="47"/>
    <n v="3"/>
    <n v="79"/>
    <n v="5"/>
    <d v="2025-01-16T00:00:00"/>
    <s v="865 Eagle Crest Park"/>
    <x v="29"/>
    <s v="Fulfilled"/>
    <n v="5"/>
    <n v="16"/>
    <s v="Sufficient"/>
    <s v="Available"/>
  </r>
  <r>
    <s v="92-152-5820"/>
    <x v="46"/>
    <s v="Beverages"/>
    <s v="Jaloo"/>
    <x v="27"/>
    <n v="36"/>
    <n v="53"/>
    <n v="5.3"/>
    <d v="2024-05-01T00:00:00"/>
    <s v="0920 Monica Pass"/>
    <x v="29"/>
    <s v="Pending"/>
    <n v="3"/>
    <n v="100"/>
    <s v="Reoeder required"/>
    <s v="Available"/>
  </r>
  <r>
    <s v="44-637-5512"/>
    <x v="94"/>
    <s v="Fruits &amp; Vegetables"/>
    <s v="Jaxspan"/>
    <x v="62"/>
    <n v="12"/>
    <n v="99"/>
    <n v="3"/>
    <d v="2025-01-12T00:00:00"/>
    <s v="00064 Mosinee Circle"/>
    <x v="75"/>
    <s v="Pending"/>
    <n v="7"/>
    <n v="30"/>
    <s v="Sufficient"/>
    <s v="Available"/>
  </r>
  <r>
    <s v="65-854-9364"/>
    <x v="2"/>
    <s v="Grains &amp; Pulses"/>
    <s v="BlogXS"/>
    <x v="2"/>
    <n v="34"/>
    <n v="96"/>
    <n v="6.3"/>
    <d v="2024-12-19T00:00:00"/>
    <s v="752 Mccormick Way"/>
    <x v="26"/>
    <s v="Pending"/>
    <n v="6"/>
    <n v="13"/>
    <s v="Reoeder required"/>
    <s v="Available"/>
  </r>
  <r>
    <s v="60-747-8704"/>
    <x v="108"/>
    <s v="Fruits &amp; Vegetables"/>
    <s v="Twitterwire"/>
    <x v="23"/>
    <n v="97"/>
    <n v="71"/>
    <n v="4.5"/>
    <d v="2024-09-29T00:00:00"/>
    <s v="561 Pennsylvania Way"/>
    <x v="59"/>
    <s v="Fulfilled"/>
    <n v="4"/>
    <n v="31"/>
    <s v="Reoeder required"/>
    <s v="Available"/>
  </r>
  <r>
    <s v="85-835-3445"/>
    <x v="7"/>
    <s v="Dairy"/>
    <s v="Gigashots"/>
    <x v="74"/>
    <n v="93"/>
    <n v="37"/>
    <n v="2.4500000000000002"/>
    <d v="2024-03-02T00:00:00"/>
    <s v="288 Fair Oaks Place"/>
    <x v="16"/>
    <s v="Pending"/>
    <n v="2"/>
    <n v="79"/>
    <s v="Reoeder required"/>
    <s v="Available"/>
  </r>
  <r>
    <s v="66-716-8221"/>
    <x v="88"/>
    <s v="Dairy"/>
    <s v="LiveZ"/>
    <x v="67"/>
    <n v="96"/>
    <n v="35"/>
    <n v="9"/>
    <d v="2024-06-24T00:00:00"/>
    <s v="54 Weeping Birch Lane"/>
    <x v="13"/>
    <s v="Fulfilled"/>
    <n v="3"/>
    <n v="84"/>
    <s v="Reoeder required"/>
    <s v="Available"/>
  </r>
  <r>
    <s v="01-026-2772"/>
    <x v="60"/>
    <s v="Fruits &amp; Vegetables"/>
    <s v="Buzzbean"/>
    <x v="69"/>
    <n v="61"/>
    <n v="47"/>
    <n v="10"/>
    <d v="2024-06-11T00:00:00"/>
    <s v="3 Bunting Point"/>
    <x v="50"/>
    <s v="Pending"/>
    <n v="4"/>
    <n v="10"/>
    <s v="Reoeder required"/>
    <s v="Available"/>
  </r>
  <r>
    <s v="21-252-1360"/>
    <x v="6"/>
    <s v="Oils &amp; Fats"/>
    <s v="Shuffletag"/>
    <x v="31"/>
    <n v="23"/>
    <n v="34"/>
    <n v="2.5"/>
    <d v="2024-09-04T00:00:00"/>
    <s v="32 Charing Cross Pass"/>
    <x v="10"/>
    <s v="Pending"/>
    <n v="7"/>
    <n v="54"/>
    <s v="Sufficient"/>
    <s v="Available"/>
  </r>
  <r>
    <s v="80-039-1261"/>
    <x v="12"/>
    <s v="Fruits &amp; Vegetables"/>
    <s v="Skimia"/>
    <x v="11"/>
    <n v="97"/>
    <n v="12"/>
    <n v="6"/>
    <d v="2024-11-28T00:00:00"/>
    <s v="1 Havey Park"/>
    <x v="24"/>
    <s v="Pending"/>
    <n v="1"/>
    <n v="58"/>
    <s v="Reoeder required"/>
    <s v="Available"/>
  </r>
  <r>
    <s v="48-427-0551"/>
    <x v="1"/>
    <s v="Beverages"/>
    <s v="Jetpulse"/>
    <x v="48"/>
    <n v="55"/>
    <n v="77"/>
    <n v="20"/>
    <d v="2024-12-16T00:00:00"/>
    <s v="2 7th Center"/>
    <x v="6"/>
    <s v="Pending"/>
    <n v="8"/>
    <n v="68"/>
    <s v="Reoeder required"/>
    <s v="Available"/>
  </r>
  <r>
    <s v="02-575-1980"/>
    <x v="4"/>
    <s v="Fruits &amp; Vegetables"/>
    <s v="Yambee"/>
    <x v="73"/>
    <n v="58"/>
    <n v="32"/>
    <n v="4"/>
    <d v="2024-07-09T00:00:00"/>
    <s v="34832 Autumn Leaf Terrace"/>
    <x v="77"/>
    <s v="Pending"/>
    <n v="6"/>
    <n v="94"/>
    <s v="Reoeder required"/>
    <s v="Available"/>
  </r>
  <r>
    <s v="61-293-6327"/>
    <x v="115"/>
    <s v="Seafood"/>
    <s v="Kamba"/>
    <x v="84"/>
    <n v="67"/>
    <n v="49"/>
    <n v="15"/>
    <d v="2024-12-29T00:00:00"/>
    <s v="4353 Dixon Circle"/>
    <x v="7"/>
    <s v="Fulfilled"/>
    <n v="4"/>
    <n v="61"/>
    <s v="Sufficient"/>
    <s v="Available"/>
  </r>
  <r>
    <s v="08-519-5579"/>
    <x v="50"/>
    <s v="Fruits &amp; Vegetables"/>
    <s v="Abatz"/>
    <x v="51"/>
    <n v="4"/>
    <n v="76"/>
    <n v="4"/>
    <d v="2024-08-22T00:00:00"/>
    <s v="89 Karstens Alley"/>
    <x v="54"/>
    <s v="Pending"/>
    <n v="2"/>
    <n v="30"/>
    <s v="Sufficient"/>
    <s v="Available"/>
  </r>
  <r>
    <s v="33-670-6797"/>
    <x v="101"/>
    <s v="Seafood"/>
    <s v="Wikido"/>
    <x v="1"/>
    <n v="56"/>
    <n v="64"/>
    <n v="7.5"/>
    <d v="2024-08-26T00:00:00"/>
    <s v="2869 Hudson Drive"/>
    <x v="41"/>
    <s v="Fulfilled"/>
    <n v="7"/>
    <n v="82"/>
    <s v="Reoeder required"/>
    <s v="Available"/>
  </r>
  <r>
    <s v="29-741-8132"/>
    <x v="100"/>
    <s v="Fruits &amp; Vegetables"/>
    <s v="Blogpad"/>
    <x v="28"/>
    <n v="22"/>
    <n v="69"/>
    <n v="4"/>
    <d v="2024-07-14T00:00:00"/>
    <s v="85 Farwell Parkway"/>
    <x v="51"/>
    <s v="Fulfilled"/>
    <n v="1"/>
    <n v="59"/>
    <s v="Sufficient"/>
    <s v="Available"/>
  </r>
  <r>
    <s v="89-713-6071"/>
    <x v="90"/>
    <s v="Oils &amp; Fats"/>
    <s v="Tazz"/>
    <x v="52"/>
    <n v="66"/>
    <n v="28"/>
    <n v="6.5"/>
    <d v="2024-11-19T00:00:00"/>
    <s v="60 Dottie Hill"/>
    <x v="34"/>
    <s v="Fulfilled"/>
    <n v="3"/>
    <n v="25"/>
    <s v="Sufficient"/>
    <s v="Available"/>
  </r>
  <r>
    <s v="00-641-8691"/>
    <x v="36"/>
    <s v="Beverages"/>
    <s v="Brainverse"/>
    <x v="64"/>
    <n v="22"/>
    <n v="94"/>
    <n v="15"/>
    <d v="2024-09-24T00:00:00"/>
    <s v="797 Mcbride Lane"/>
    <x v="40"/>
    <s v="Pending"/>
    <n v="3"/>
    <n v="56"/>
    <s v="Sufficient"/>
    <s v="Available"/>
  </r>
  <r>
    <s v="68-977-6854"/>
    <x v="106"/>
    <s v="Fruits &amp; Vegetables"/>
    <s v="Blognation"/>
    <x v="82"/>
    <n v="30"/>
    <n v="42"/>
    <n v="5"/>
    <d v="2024-07-29T00:00:00"/>
    <s v="2633 Shasta Alley"/>
    <x v="50"/>
    <s v="Fulfilled"/>
    <n v="8"/>
    <n v="69"/>
    <s v="Sufficient"/>
    <s v="Available"/>
  </r>
  <r>
    <s v="86-257-4613"/>
    <x v="65"/>
    <s v="Grains &amp; Pulses"/>
    <s v="Kwilith"/>
    <x v="7"/>
    <n v="26"/>
    <n v="60"/>
    <n v="4.75"/>
    <d v="2024-08-23T00:00:00"/>
    <s v="5 Prentice Pass"/>
    <x v="13"/>
    <s v="Pending"/>
    <n v="3"/>
    <n v="59"/>
    <s v="Sufficient"/>
    <s v="Available"/>
  </r>
  <r>
    <s v="06-340-6856"/>
    <x v="114"/>
    <s v="Grains &amp; Pulses"/>
    <s v="Podcat"/>
    <x v="41"/>
    <n v="56"/>
    <n v="12"/>
    <n v="9.75"/>
    <d v="2024-11-25T00:00:00"/>
    <s v="84 Rusk Terrace"/>
    <x v="47"/>
    <s v="Pending"/>
    <n v="6"/>
    <n v="88"/>
    <s v="Reoeder required"/>
    <s v="Available"/>
  </r>
  <r>
    <s v="11-338-4598"/>
    <x v="55"/>
    <s v="Fruits &amp; Vegetables"/>
    <s v="Centimia"/>
    <x v="18"/>
    <n v="58"/>
    <n v="69"/>
    <n v="1.2"/>
    <d v="2025-02-03T00:00:00"/>
    <s v="9067 Valley Edge Park"/>
    <x v="40"/>
    <s v="Pending"/>
    <n v="1"/>
    <n v="23"/>
    <s v="Sufficient"/>
    <s v="Available"/>
  </r>
  <r>
    <s v="82-711-0772"/>
    <x v="7"/>
    <s v="Dairy"/>
    <s v="Skyble"/>
    <x v="18"/>
    <n v="58"/>
    <n v="52"/>
    <n v="2.4"/>
    <d v="2024-05-16T00:00:00"/>
    <s v="463 Oxford Crossing"/>
    <x v="66"/>
    <s v="Fulfilled"/>
    <n v="1"/>
    <n v="14"/>
    <s v="Sufficient"/>
    <s v="Available"/>
  </r>
  <r>
    <s v="05-184-4175"/>
    <x v="36"/>
    <s v="Beverages"/>
    <s v="Skyndu"/>
    <x v="69"/>
    <n v="30"/>
    <n v="60"/>
    <n v="15"/>
    <d v="2024-10-23T00:00:00"/>
    <s v="57 Di Loreto Circle"/>
    <x v="55"/>
    <s v="Fulfilled"/>
    <n v="2"/>
    <n v="84"/>
    <s v="Sufficient"/>
    <s v="Available"/>
  </r>
  <r>
    <s v="17-274-6898"/>
    <x v="118"/>
    <s v="Bakery"/>
    <s v="Photobug"/>
    <x v="80"/>
    <n v="53"/>
    <n v="92"/>
    <n v="3.5"/>
    <d v="2024-06-01T00:00:00"/>
    <s v="657 Texas Street"/>
    <x v="6"/>
    <s v="Pending"/>
    <n v="8"/>
    <n v="43"/>
    <s v="Reoeder required"/>
    <s v="Available"/>
  </r>
  <r>
    <s v="79-569-8856"/>
    <x v="87"/>
    <s v="Oils &amp; Fats"/>
    <s v="Digitube"/>
    <x v="37"/>
    <n v="87"/>
    <n v="86"/>
    <n v="2"/>
    <d v="2024-05-19T00:00:00"/>
    <s v="03643 Oakridge Lane"/>
    <x v="38"/>
    <s v="Fulfilled"/>
    <n v="2"/>
    <n v="83"/>
    <s v="Reoeder required"/>
    <s v="Available"/>
  </r>
  <r>
    <s v="00-534-9775"/>
    <x v="36"/>
    <s v="Beverages"/>
    <s v="Tagpad"/>
    <x v="89"/>
    <n v="91"/>
    <n v="23"/>
    <n v="14.9"/>
    <d v="2024-05-23T00:00:00"/>
    <s v="68 Dakota Center"/>
    <x v="54"/>
    <s v="Pending"/>
    <n v="7"/>
    <n v="75"/>
    <s v="Reoeder required"/>
    <s v="Available"/>
  </r>
  <r>
    <s v="94-071-2261"/>
    <x v="25"/>
    <s v="Fruits &amp; Vegetables"/>
    <s v="Roodel"/>
    <x v="70"/>
    <n v="37"/>
    <n v="98"/>
    <n v="4.5"/>
    <d v="2024-03-02T00:00:00"/>
    <s v="2004 Cody Plaza"/>
    <x v="55"/>
    <s v="Fulfilled"/>
    <n v="3"/>
    <n v="20"/>
    <s v="Sufficient"/>
    <s v="Available"/>
  </r>
  <r>
    <s v="94-355-3070"/>
    <x v="70"/>
    <s v="Seafood"/>
    <s v="Jabbercube"/>
    <x v="39"/>
    <n v="52"/>
    <n v="80"/>
    <n v="6.8"/>
    <d v="2024-07-13T00:00:00"/>
    <s v="116 Spaight Park"/>
    <x v="44"/>
    <s v="Pending"/>
    <n v="2"/>
    <n v="17"/>
    <s v="Reoeder required"/>
    <s v="Available"/>
  </r>
  <r>
    <s v="17-265-1899"/>
    <x v="41"/>
    <s v="Fruits &amp; Vegetables"/>
    <s v="Demimbu"/>
    <x v="19"/>
    <n v="35"/>
    <n v="82"/>
    <n v="3"/>
    <d v="2024-03-25T00:00:00"/>
    <s v="4826 Drewry Center"/>
    <x v="52"/>
    <s v="Pending"/>
    <n v="4"/>
    <n v="71"/>
    <s v="Sufficient"/>
    <s v="Available"/>
  </r>
  <r>
    <s v="13-888-0149"/>
    <x v="98"/>
    <s v="Fruits &amp; Vegetables"/>
    <s v="Shufflebeat"/>
    <x v="31"/>
    <n v="18"/>
    <n v="65"/>
    <n v="2"/>
    <d v="2024-12-30T00:00:00"/>
    <s v="1 Logan Road"/>
    <x v="0"/>
    <s v="Fulfilled"/>
    <n v="4"/>
    <n v="92"/>
    <s v="Sufficient"/>
    <s v="Available"/>
  </r>
  <r>
    <s v="21-890-2826"/>
    <x v="81"/>
    <s v="Dairy"/>
    <s v="Avaveo"/>
    <x v="32"/>
    <n v="12"/>
    <n v="62"/>
    <n v="7"/>
    <d v="2024-05-04T00:00:00"/>
    <s v="84 Hoffman Way"/>
    <x v="22"/>
    <s v="Pending"/>
    <n v="4"/>
    <n v="23"/>
    <s v="Sufficient"/>
    <s v="Available"/>
  </r>
  <r>
    <s v="05-425-0746"/>
    <x v="31"/>
    <s v="Fruits &amp; Vegetables"/>
    <s v="Gabspot"/>
    <x v="74"/>
    <n v="68"/>
    <n v="90"/>
    <n v="2"/>
    <d v="2024-05-09T00:00:00"/>
    <s v="49884 Brickson Park Plaza"/>
    <x v="35"/>
    <s v="Fulfilled"/>
    <n v="8"/>
    <n v="13"/>
    <s v="Reoeder required"/>
    <s v="Available"/>
  </r>
  <r>
    <s v="88-807-8431"/>
    <x v="30"/>
    <s v="Seafood"/>
    <s v="Eire"/>
    <x v="73"/>
    <n v="87"/>
    <n v="43"/>
    <n v="9"/>
    <d v="2024-06-06T00:00:00"/>
    <s v="2 Russell Alley"/>
    <x v="52"/>
    <s v="Pending"/>
    <n v="3"/>
    <n v="91"/>
    <s v="Reoeder required"/>
    <s v="Available"/>
  </r>
  <r>
    <s v="77-377-1659"/>
    <x v="69"/>
    <s v="Grains &amp; Pulses"/>
    <s v="Thoughtblab"/>
    <x v="59"/>
    <n v="22"/>
    <n v="91"/>
    <n v="9.5"/>
    <d v="2025-01-22T00:00:00"/>
    <s v="6 Acker Street"/>
    <x v="38"/>
    <s v="Fulfilled"/>
    <n v="3"/>
    <n v="12"/>
    <s v="Sufficient"/>
    <s v="Available"/>
  </r>
  <r>
    <s v="92-362-3567"/>
    <x v="112"/>
    <s v="Fruits &amp; Vegetables"/>
    <s v="Fivebridge"/>
    <x v="73"/>
    <n v="10"/>
    <n v="60"/>
    <n v="2.5"/>
    <d v="2024-05-06T00:00:00"/>
    <s v="826 Melvin Pass"/>
    <x v="47"/>
    <s v="Pending"/>
    <n v="4"/>
    <n v="53"/>
    <s v="Sufficient"/>
    <s v="Available"/>
  </r>
  <r>
    <s v="99-961-0767"/>
    <x v="52"/>
    <s v="Dairy"/>
    <s v="Tambee"/>
    <x v="42"/>
    <n v="15"/>
    <n v="30"/>
    <n v="4"/>
    <d v="2024-10-25T00:00:00"/>
    <s v="40113 Blaine Place"/>
    <x v="3"/>
    <s v="Pending"/>
    <n v="4"/>
    <n v="63"/>
    <s v="Sufficient"/>
    <s v="Available"/>
  </r>
  <r>
    <s v="94-092-3355"/>
    <x v="78"/>
    <s v="Fruits &amp; Vegetables"/>
    <s v="Flashspan"/>
    <x v="63"/>
    <n v="43"/>
    <n v="46"/>
    <n v="2.5"/>
    <d v="2024-12-01T00:00:00"/>
    <s v="929 Thierer Lane"/>
    <x v="80"/>
    <s v="Pending"/>
    <n v="7"/>
    <n v="88"/>
    <s v="Sufficient"/>
    <s v="Available"/>
  </r>
  <r>
    <s v="29-344-3658"/>
    <x v="98"/>
    <s v="Fruits &amp; Vegetables"/>
    <s v="Yata"/>
    <x v="31"/>
    <n v="56"/>
    <n v="57"/>
    <n v="1.9"/>
    <d v="2024-10-25T00:00:00"/>
    <s v="7 Talmadge Street"/>
    <x v="13"/>
    <s v="Fulfilled"/>
    <n v="1"/>
    <n v="64"/>
    <s v="Sufficient"/>
    <s v="Available"/>
  </r>
  <r>
    <s v="60-327-4114"/>
    <x v="89"/>
    <s v="Dairy"/>
    <s v="Katz"/>
    <x v="21"/>
    <n v="7"/>
    <n v="23"/>
    <n v="2.35"/>
    <d v="2024-11-22T00:00:00"/>
    <s v="3 Bellgrove Way"/>
    <x v="16"/>
    <s v="Pending"/>
    <n v="2"/>
    <n v="100"/>
    <s v="Sufficient"/>
    <s v="Available"/>
  </r>
  <r>
    <s v="13-409-9040"/>
    <x v="48"/>
    <s v="Beverages"/>
    <s v="Jazzy"/>
    <x v="51"/>
    <n v="20"/>
    <n v="42"/>
    <n v="25.25"/>
    <d v="2024-08-05T00:00:00"/>
    <s v="9623 Cottonwood Park"/>
    <x v="59"/>
    <s v="Pending"/>
    <n v="7"/>
    <n v="56"/>
    <s v="Sufficient"/>
    <s v="Available"/>
  </r>
  <r>
    <s v="75-927-9108"/>
    <x v="19"/>
    <s v="Fruits &amp; Vegetables"/>
    <s v="Topdrive"/>
    <x v="35"/>
    <n v="32"/>
    <n v="17"/>
    <n v="1"/>
    <d v="2024-06-17T00:00:00"/>
    <s v="43 Washington Street"/>
    <x v="79"/>
    <s v="Pending"/>
    <n v="2"/>
    <n v="72"/>
    <s v="Reoeder required"/>
    <s v="Available"/>
  </r>
  <r>
    <s v="30-806-3823"/>
    <x v="65"/>
    <s v="Grains &amp; Pulses"/>
    <s v="Topicware"/>
    <x v="58"/>
    <n v="26"/>
    <n v="3"/>
    <n v="4.75"/>
    <d v="2024-07-04T00:00:00"/>
    <s v="07 Pankratz Point"/>
    <x v="10"/>
    <s v="Pending"/>
    <n v="8"/>
    <n v="94"/>
    <s v="Sufficient"/>
    <s v="Available"/>
  </r>
  <r>
    <s v="65-780-5622"/>
    <x v="56"/>
    <s v="Bakery"/>
    <s v="InnoZ"/>
    <x v="59"/>
    <n v="81"/>
    <n v="41"/>
    <n v="6"/>
    <d v="2024-05-02T00:00:00"/>
    <s v="65 Forster Way"/>
    <x v="32"/>
    <s v="Fulfilled"/>
    <n v="4"/>
    <n v="67"/>
    <s v="Reoeder required"/>
    <s v="Available"/>
  </r>
  <r>
    <s v="94-598-3383"/>
    <x v="104"/>
    <s v="Grains &amp; Pulses"/>
    <s v="Viva"/>
    <x v="70"/>
    <n v="38"/>
    <n v="67"/>
    <n v="2.5"/>
    <d v="2024-10-08T00:00:00"/>
    <s v="7403 Fuller Hill"/>
    <x v="31"/>
    <s v="Fulfilled"/>
    <n v="7"/>
    <n v="93"/>
    <s v="Sufficient"/>
    <s v="Available"/>
  </r>
  <r>
    <s v="45-250-4679"/>
    <x v="14"/>
    <s v="Grains &amp; Pulses"/>
    <s v="Dazzlesphere"/>
    <x v="13"/>
    <n v="78"/>
    <n v="81"/>
    <n v="1.5"/>
    <d v="2024-11-23T00:00:00"/>
    <s v="49148 Meadow Ridge Way"/>
    <x v="69"/>
    <s v="Fulfilled"/>
    <n v="8"/>
    <n v="63"/>
    <s v="Reoeder required"/>
    <s v="Available"/>
  </r>
  <r>
    <s v="45-317-9731"/>
    <x v="63"/>
    <s v="Oils &amp; Fats"/>
    <s v="Wordware"/>
    <x v="7"/>
    <n v="83"/>
    <n v="78"/>
    <n v="1.8"/>
    <d v="2025-01-07T00:00:00"/>
    <s v="70156 7th Junction"/>
    <x v="17"/>
    <s v="Pending"/>
    <n v="4"/>
    <n v="4"/>
    <s v="Reoeder required"/>
    <s v="Available"/>
  </r>
  <r>
    <s v="41-131-3841"/>
    <x v="69"/>
    <s v="Grains &amp; Pulses"/>
    <s v="Camido"/>
    <x v="25"/>
    <n v="19"/>
    <n v="31"/>
    <n v="9.5"/>
    <d v="2025-01-23T00:00:00"/>
    <s v="16 Fair Oaks Pass"/>
    <x v="9"/>
    <s v="Fulfilled"/>
    <n v="7"/>
    <n v="25"/>
    <s v="Sufficient"/>
    <s v="Available"/>
  </r>
  <r>
    <s v="15-905-7750"/>
    <x v="106"/>
    <s v="Fruits &amp; Vegetables"/>
    <s v="Skinix"/>
    <x v="83"/>
    <n v="61"/>
    <n v="52"/>
    <n v="5"/>
    <d v="2025-01-31T00:00:00"/>
    <s v="36687 Maple Avenue"/>
    <x v="52"/>
    <s v="Pending"/>
    <n v="4"/>
    <n v="99"/>
    <s v="Reoeder required"/>
    <s v="Available"/>
  </r>
  <r>
    <s v="68-973-8812"/>
    <x v="116"/>
    <s v="Fruits &amp; Vegetables"/>
    <s v="Yodo"/>
    <x v="7"/>
    <n v="77"/>
    <n v="45"/>
    <n v="2"/>
    <d v="2024-06-22T00:00:00"/>
    <s v="55 Cherokee Circle"/>
    <x v="72"/>
    <s v="Pending"/>
    <n v="7"/>
    <n v="64"/>
    <s v="Reoeder required"/>
    <s v="Available"/>
  </r>
  <r>
    <s v="49-570-8214"/>
    <x v="84"/>
    <s v="Dairy"/>
    <s v="Realblab"/>
    <x v="19"/>
    <n v="76"/>
    <n v="10"/>
    <n v="4"/>
    <d v="2024-05-27T00:00:00"/>
    <s v="1823 Elgar Park"/>
    <x v="58"/>
    <s v="Fulfilled"/>
    <n v="3"/>
    <n v="100"/>
    <s v="Sufficient"/>
    <s v="Available"/>
  </r>
  <r>
    <s v="57-779-4955"/>
    <x v="2"/>
    <s v="Grains &amp; Pulses"/>
    <s v="Zazio"/>
    <x v="40"/>
    <n v="48"/>
    <n v="22"/>
    <n v="6.25"/>
    <d v="2024-12-01T00:00:00"/>
    <s v="38436 Anthes Way"/>
    <x v="39"/>
    <s v="Fulfilled"/>
    <n v="7"/>
    <n v="61"/>
    <s v="Sufficient"/>
    <s v="Available"/>
  </r>
  <r>
    <s v="85-781-5386"/>
    <x v="115"/>
    <s v="Seafood"/>
    <s v="Avavee"/>
    <x v="87"/>
    <n v="68"/>
    <n v="86"/>
    <n v="15"/>
    <d v="2024-03-20T00:00:00"/>
    <s v="10577 Thierer Plaza"/>
    <x v="11"/>
    <s v="Fulfilled"/>
    <n v="2"/>
    <n v="95"/>
    <s v="Sufficient"/>
    <s v="Available"/>
  </r>
  <r>
    <s v="72-341-1154"/>
    <x v="52"/>
    <s v="Dairy"/>
    <s v="Yodo"/>
    <x v="42"/>
    <n v="66"/>
    <n v="85"/>
    <n v="4.2"/>
    <d v="2024-10-31T00:00:00"/>
    <s v="8682 Golf Course Junction"/>
    <x v="29"/>
    <s v="Fulfilled"/>
    <n v="4"/>
    <n v="58"/>
    <s v="Sufficient"/>
    <s v="Available"/>
  </r>
  <r>
    <s v="28-986-8001"/>
    <x v="75"/>
    <s v="Fruits &amp; Vegetables"/>
    <s v="Kwideo"/>
    <x v="17"/>
    <n v="69"/>
    <n v="4"/>
    <n v="6"/>
    <d v="2024-06-15T00:00:00"/>
    <s v="4 Old Shore Avenue"/>
    <x v="62"/>
    <s v="Pending"/>
    <n v="7"/>
    <n v="26"/>
    <s v="Reoeder required"/>
    <s v="Available"/>
  </r>
  <r>
    <s v="82-811-7988"/>
    <x v="28"/>
    <s v="Oils &amp; Fats"/>
    <s v="Realmix"/>
    <x v="80"/>
    <n v="3"/>
    <n v="54"/>
    <n v="6"/>
    <d v="2024-06-13T00:00:00"/>
    <s v="65 Chinook Circle"/>
    <x v="49"/>
    <s v="Pending"/>
    <n v="4"/>
    <n v="8"/>
    <s v="Sufficient"/>
    <s v="Available"/>
  </r>
  <r>
    <s v="27-495-1912"/>
    <x v="55"/>
    <s v="Fruits &amp; Vegetables"/>
    <s v="Thoughtbridge"/>
    <x v="11"/>
    <n v="63"/>
    <n v="88"/>
    <n v="1.2"/>
    <d v="2024-02-29T00:00:00"/>
    <s v="12710 Gulseth Circle"/>
    <x v="45"/>
    <s v="Pending"/>
    <n v="1"/>
    <n v="70"/>
    <s v="Reoeder required"/>
    <s v="Available"/>
  </r>
  <r>
    <s v="44-480-9446"/>
    <x v="97"/>
    <s v="Oils &amp; Fats"/>
    <s v="Aibox"/>
    <x v="30"/>
    <n v="13"/>
    <n v="13"/>
    <n v="2.5"/>
    <d v="2025-02-19T00:00:00"/>
    <s v="43591 East Road"/>
    <x v="45"/>
    <s v="Pending"/>
    <n v="4"/>
    <n v="93"/>
    <s v="Sufficient"/>
    <s v="Available"/>
  </r>
  <r>
    <s v="77-937-1108"/>
    <x v="10"/>
    <s v="Grains &amp; Pulses"/>
    <s v="Twimm"/>
    <x v="30"/>
    <n v="83"/>
    <n v="21"/>
    <n v="2"/>
    <d v="2024-04-23T00:00:00"/>
    <s v="01 Hansons Crossing"/>
    <x v="21"/>
    <s v="Pending"/>
    <n v="3"/>
    <n v="88"/>
    <s v="Reoeder required"/>
    <s v="Available"/>
  </r>
  <r>
    <s v="82-538-4809"/>
    <x v="19"/>
    <s v="Fruits &amp; Vegetables"/>
    <s v="Twitternation"/>
    <x v="88"/>
    <n v="61"/>
    <n v="4"/>
    <n v="1"/>
    <d v="2024-11-05T00:00:00"/>
    <s v="700 Northland Crossing"/>
    <x v="41"/>
    <s v="Fulfilled"/>
    <n v="5"/>
    <n v="7"/>
    <s v="Sufficient"/>
    <s v="Available"/>
  </r>
  <r>
    <s v="69-895-3397"/>
    <x v="26"/>
    <s v="Fruits &amp; Vegetables"/>
    <s v="Yabox"/>
    <x v="44"/>
    <n v="5"/>
    <n v="9"/>
    <n v="1.8"/>
    <d v="2025-01-16T00:00:00"/>
    <s v="98 Melody Street"/>
    <x v="55"/>
    <s v="Pending"/>
    <n v="5"/>
    <n v="9"/>
    <s v="Sufficient"/>
    <s v="Available"/>
  </r>
  <r>
    <s v="44-112-3331"/>
    <x v="82"/>
    <s v="Seafood"/>
    <s v="Realmix"/>
    <x v="42"/>
    <n v="17"/>
    <n v="96"/>
    <n v="18"/>
    <d v="2024-07-02T00:00:00"/>
    <s v="63787 Arkansas Street"/>
    <x v="57"/>
    <s v="Pending"/>
    <n v="7"/>
    <n v="34"/>
    <s v="Sufficient"/>
    <s v="Available"/>
  </r>
  <r>
    <s v="93-682-2069"/>
    <x v="98"/>
    <s v="Fruits &amp; Vegetables"/>
    <s v="Roomm"/>
    <x v="77"/>
    <n v="39"/>
    <n v="15"/>
    <n v="2"/>
    <d v="2024-06-23T00:00:00"/>
    <s v="2718 Londonderry Plaza"/>
    <x v="76"/>
    <s v="Pending"/>
    <n v="8"/>
    <n v="70"/>
    <s v="Sufficient"/>
    <s v="Available"/>
  </r>
  <r>
    <s v="49-199-6836"/>
    <x v="112"/>
    <s v="Fruits &amp; Vegetables"/>
    <s v="Thoughtbeat"/>
    <x v="46"/>
    <n v="64"/>
    <n v="62"/>
    <n v="2.5"/>
    <d v="2024-12-30T00:00:00"/>
    <s v="77 Brown Circle"/>
    <x v="45"/>
    <s v="Fulfilled"/>
    <n v="8"/>
    <n v="44"/>
    <s v="Sufficient"/>
    <s v="Available"/>
  </r>
  <r>
    <s v="47-221-2470"/>
    <x v="75"/>
    <s v="Fruits &amp; Vegetables"/>
    <s v="Teklist"/>
    <x v="85"/>
    <n v="45"/>
    <n v="44"/>
    <n v="6"/>
    <d v="2024-04-03T00:00:00"/>
    <s v="60 Messerschmidt Pass"/>
    <x v="36"/>
    <s v="Pending"/>
    <n v="1"/>
    <n v="16"/>
    <s v="Reoeder required"/>
    <s v="Available"/>
  </r>
  <r>
    <s v="71-067-3278"/>
    <x v="95"/>
    <s v="Seafood"/>
    <s v="Twitterbridge"/>
    <x v="37"/>
    <n v="35"/>
    <n v="95"/>
    <n v="10"/>
    <d v="2024-05-08T00:00:00"/>
    <s v="5521 Wayridge Center"/>
    <x v="62"/>
    <s v="Pending"/>
    <n v="1"/>
    <n v="89"/>
    <s v="Sufficient"/>
    <s v="Available"/>
  </r>
  <r>
    <s v="89-388-3239"/>
    <x v="103"/>
    <s v="Fruits &amp; Vegetables"/>
    <s v="Centizu"/>
    <x v="13"/>
    <n v="88"/>
    <n v="43"/>
    <n v="5.5"/>
    <d v="2024-05-24T00:00:00"/>
    <s v="4346 Columbus Way"/>
    <x v="68"/>
    <s v="Pending"/>
    <n v="6"/>
    <n v="77"/>
    <s v="Reoeder required"/>
    <s v="Available"/>
  </r>
  <r>
    <s v="10-555-5971"/>
    <x v="40"/>
    <s v="Bakery"/>
    <s v="Gigashots"/>
    <x v="14"/>
    <n v="56"/>
    <n v="80"/>
    <n v="4"/>
    <d v="2024-12-02T00:00:00"/>
    <s v="8425 New Castle Parkway"/>
    <x v="11"/>
    <s v="Fulfilled"/>
    <n v="3"/>
    <n v="96"/>
    <s v="Sufficient"/>
    <s v="Available"/>
  </r>
  <r>
    <s v="82-931-7126"/>
    <x v="91"/>
    <s v="Fruits &amp; Vegetables"/>
    <s v="Vitz"/>
    <x v="68"/>
    <n v="95"/>
    <n v="18"/>
    <n v="5"/>
    <d v="2024-10-17T00:00:00"/>
    <s v="856 School Plaza"/>
    <x v="69"/>
    <s v="Pending"/>
    <n v="8"/>
    <n v="26"/>
    <s v="Reoeder required"/>
    <s v="Available"/>
  </r>
  <r>
    <s v="24-228-6840"/>
    <x v="29"/>
    <s v="Beverages"/>
    <s v="Myworks"/>
    <x v="15"/>
    <n v="1"/>
    <n v="3"/>
    <n v="30"/>
    <d v="2024-08-09T00:00:00"/>
    <s v="68241 Hanson Circle"/>
    <x v="5"/>
    <s v="Pending"/>
    <n v="4"/>
    <n v="63"/>
    <s v="Sufficient"/>
    <s v="Available"/>
  </r>
  <r>
    <s v="52-392-5312"/>
    <x v="5"/>
    <s v="Grains &amp; Pulses"/>
    <s v="Pixonyx"/>
    <x v="74"/>
    <n v="42"/>
    <n v="20"/>
    <n v="1.75"/>
    <d v="2025-02-19T00:00:00"/>
    <s v="336 Old Shore Lane"/>
    <x v="80"/>
    <s v="Pending"/>
    <n v="2"/>
    <n v="59"/>
    <s v="Sufficient"/>
    <s v="Available"/>
  </r>
  <r>
    <s v="36-531-4087"/>
    <x v="69"/>
    <s v="Grains &amp; Pulses"/>
    <s v="Skaboo"/>
    <x v="42"/>
    <n v="12"/>
    <n v="94"/>
    <n v="9.5"/>
    <d v="2024-10-25T00:00:00"/>
    <s v="2 Columbus Drive"/>
    <x v="51"/>
    <s v="Fulfilled"/>
    <n v="7"/>
    <n v="32"/>
    <s v="Sufficient"/>
    <s v="Available"/>
  </r>
  <r>
    <s v="39-810-2042"/>
    <x v="66"/>
    <s v="Grains &amp; Pulses"/>
    <s v="Quatz"/>
    <x v="35"/>
    <n v="2"/>
    <n v="49"/>
    <n v="2"/>
    <d v="2025-01-25T00:00:00"/>
    <s v="47817 Oneill Park"/>
    <x v="60"/>
    <s v="Pending"/>
    <n v="2"/>
    <n v="82"/>
    <s v="Sufficient"/>
    <s v="Available"/>
  </r>
  <r>
    <s v="55-164-7723"/>
    <x v="105"/>
    <s v="Seafood"/>
    <s v="Gevee"/>
    <x v="45"/>
    <n v="31"/>
    <n v="86"/>
    <n v="20"/>
    <d v="2024-05-17T00:00:00"/>
    <s v="6410 Northwestern Pass"/>
    <x v="15"/>
    <s v="Fulfilled"/>
    <n v="6"/>
    <n v="74"/>
    <s v="Sufficient"/>
    <s v="Available"/>
  </r>
  <r>
    <s v="61-680-9496"/>
    <x v="110"/>
    <s v="Fruits &amp; Vegetables"/>
    <s v="Wikido"/>
    <x v="85"/>
    <n v="14"/>
    <n v="17"/>
    <n v="3.5"/>
    <d v="2024-10-05T00:00:00"/>
    <s v="2 Northridge Street"/>
    <x v="66"/>
    <s v="Pending"/>
    <n v="1"/>
    <n v="64"/>
    <s v="Sufficient"/>
    <s v="Available"/>
  </r>
  <r>
    <s v="24-143-4957"/>
    <x v="79"/>
    <s v="Oils &amp; Fats"/>
    <s v="Katz"/>
    <x v="71"/>
    <n v="97"/>
    <n v="63"/>
    <n v="2.2999999999999998"/>
    <d v="2024-06-22T00:00:00"/>
    <s v="685 Independence Junction"/>
    <x v="53"/>
    <s v="Pending"/>
    <n v="8"/>
    <n v="23"/>
    <s v="Reoeder required"/>
    <s v="Available"/>
  </r>
  <r>
    <s v="26-456-1992"/>
    <x v="70"/>
    <s v="Seafood"/>
    <s v="Geba"/>
    <x v="61"/>
    <n v="59"/>
    <n v="87"/>
    <n v="7"/>
    <d v="2024-12-23T00:00:00"/>
    <s v="1792 Crownhardt Street"/>
    <x v="29"/>
    <s v="Pending"/>
    <n v="7"/>
    <n v="45"/>
    <s v="Reoeder required"/>
    <s v="Available"/>
  </r>
  <r>
    <s v="62-998-7250"/>
    <x v="107"/>
    <s v="Dairy"/>
    <s v="Photobug"/>
    <x v="18"/>
    <n v="3"/>
    <n v="10"/>
    <n v="2"/>
    <d v="2024-07-31T00:00:00"/>
    <s v="9171 Redwing Street"/>
    <x v="20"/>
    <s v="Fulfilled"/>
    <n v="5"/>
    <n v="14"/>
    <s v="Sufficient"/>
    <s v="Available"/>
  </r>
  <r>
    <s v="38-617-7226"/>
    <x v="23"/>
    <s v="Fruits &amp; Vegetables"/>
    <s v="Bluezoom"/>
    <x v="17"/>
    <n v="42"/>
    <n v="62"/>
    <n v="6.3"/>
    <d v="2024-06-19T00:00:00"/>
    <s v="33145 Butterfield Avenue"/>
    <x v="46"/>
    <s v="Fulfilled"/>
    <n v="5"/>
    <n v="2"/>
    <s v="Sufficient"/>
    <s v="Available"/>
  </r>
  <r>
    <s v="00-366-9496"/>
    <x v="103"/>
    <s v="Fruits &amp; Vegetables"/>
    <s v="Kimia"/>
    <x v="2"/>
    <n v="66"/>
    <n v="28"/>
    <n v="5.5"/>
    <d v="2025-02-08T00:00:00"/>
    <s v="898 Rowland Trail"/>
    <x v="13"/>
    <s v="Pending"/>
    <n v="7"/>
    <n v="98"/>
    <s v="Reoeder required"/>
    <s v="Available"/>
  </r>
  <r>
    <s v="76-027-4850"/>
    <x v="31"/>
    <s v="Fruits &amp; Vegetables"/>
    <s v="Tavu"/>
    <x v="30"/>
    <n v="37"/>
    <n v="48"/>
    <n v="2"/>
    <d v="2024-08-26T00:00:00"/>
    <s v="425 Shasta Terrace"/>
    <x v="28"/>
    <s v="Fulfilled"/>
    <n v="7"/>
    <n v="19"/>
    <s v="Sufficient"/>
    <s v="Available"/>
  </r>
  <r>
    <s v="27-269-5260"/>
    <x v="27"/>
    <s v="Fruits &amp; Vegetables"/>
    <s v="Rhyloo"/>
    <x v="39"/>
    <n v="81"/>
    <n v="65"/>
    <n v="3.5"/>
    <d v="2024-03-15T00:00:00"/>
    <s v="1661 Springview Terrace"/>
    <x v="49"/>
    <s v="Pending"/>
    <n v="6"/>
    <n v="84"/>
    <s v="Reoeder required"/>
    <s v="Available"/>
  </r>
  <r>
    <s v="40-126-0515"/>
    <x v="45"/>
    <s v="Fruits &amp; Vegetables"/>
    <s v="Gigashots"/>
    <x v="59"/>
    <n v="37"/>
    <n v="57"/>
    <n v="1.5"/>
    <d v="2024-03-04T00:00:00"/>
    <s v="28351 Cascade Plaza"/>
    <x v="56"/>
    <s v="Pending"/>
    <n v="2"/>
    <n v="18"/>
    <s v="Sufficient"/>
    <s v="Available"/>
  </r>
  <r>
    <s v="31-387-5020"/>
    <x v="20"/>
    <s v="Dairy"/>
    <s v="Buzzbean"/>
    <x v="21"/>
    <n v="41"/>
    <n v="98"/>
    <n v="11.9"/>
    <d v="2024-12-17T00:00:00"/>
    <s v="854 Kipling Point"/>
    <x v="36"/>
    <s v="Fulfilled"/>
    <n v="6"/>
    <n v="7"/>
    <s v="Sufficient"/>
    <s v="Available"/>
  </r>
  <r>
    <s v="13-673-7016"/>
    <x v="76"/>
    <s v="Fruits &amp; Vegetables"/>
    <s v="Youfeed"/>
    <x v="28"/>
    <n v="67"/>
    <n v="57"/>
    <n v="4"/>
    <d v="2024-07-22T00:00:00"/>
    <s v="04 Hagan Crossing"/>
    <x v="66"/>
    <s v="Fulfilled"/>
    <n v="8"/>
    <n v="48"/>
    <s v="Reoeder required"/>
    <s v="Available"/>
  </r>
  <r>
    <s v="85-212-2729"/>
    <x v="89"/>
    <s v="Dairy"/>
    <s v="Browsecat"/>
    <x v="83"/>
    <n v="94"/>
    <n v="79"/>
    <n v="2.5"/>
    <d v="2024-12-21T00:00:00"/>
    <s v="93 Longview Junction"/>
    <x v="26"/>
    <s v="Pending"/>
    <n v="8"/>
    <n v="92"/>
    <s v="Reoeder required"/>
    <s v="Available"/>
  </r>
  <r>
    <s v="99-048-8310"/>
    <x v="112"/>
    <s v="Fruits &amp; Vegetables"/>
    <s v="Demimbu"/>
    <x v="90"/>
    <n v="49"/>
    <n v="73"/>
    <n v="2.5"/>
    <d v="2024-04-22T00:00:00"/>
    <s v="43 Lakewood Junction"/>
    <x v="62"/>
    <s v="Pending"/>
    <n v="4"/>
    <n v="36"/>
    <s v="Reoeder required"/>
    <s v="Available"/>
  </r>
  <r>
    <s v="19-112-1616"/>
    <x v="71"/>
    <s v="Fruits &amp; Vegetables"/>
    <s v="Quamba"/>
    <x v="20"/>
    <n v="56"/>
    <n v="72"/>
    <n v="2"/>
    <d v="2024-04-12T00:00:00"/>
    <s v="7698 Logan Drive"/>
    <x v="28"/>
    <s v="Fulfilled"/>
    <n v="2"/>
    <n v="36"/>
    <s v="Sufficient"/>
    <s v="Available"/>
  </r>
  <r>
    <s v="98-546-7398"/>
    <x v="109"/>
    <s v="Dairy"/>
    <s v="Thoughtworks"/>
    <x v="76"/>
    <n v="69"/>
    <n v="71"/>
    <n v="1.75"/>
    <d v="2024-05-03T00:00:00"/>
    <s v="15658 Talisman Lane"/>
    <x v="69"/>
    <s v="Fulfilled"/>
    <n v="8"/>
    <n v="43"/>
    <s v="Sufficient"/>
    <s v="Available"/>
  </r>
  <r>
    <s v="63-874-9747"/>
    <x v="41"/>
    <s v="Fruits &amp; Vegetables"/>
    <s v="Oloo"/>
    <x v="80"/>
    <n v="59"/>
    <n v="90"/>
    <n v="3"/>
    <d v="2024-12-09T00:00:00"/>
    <s v="183 Buell Park"/>
    <x v="28"/>
    <s v="Fulfilled"/>
    <n v="1"/>
    <n v="60"/>
    <s v="Reoeder required"/>
    <s v="Available"/>
  </r>
  <r>
    <s v="58-946-5152"/>
    <x v="14"/>
    <s v="Grains &amp; Pulses"/>
    <s v="Avaveo"/>
    <x v="73"/>
    <n v="77"/>
    <n v="7"/>
    <n v="1.5"/>
    <d v="2024-11-05T00:00:00"/>
    <s v="06 Lake View Trail"/>
    <x v="76"/>
    <s v="Pending"/>
    <n v="6"/>
    <n v="46"/>
    <s v="Reoeder required"/>
    <s v="Available"/>
  </r>
  <r>
    <s v="65-867-4029"/>
    <x v="76"/>
    <s v="Fruits &amp; Vegetables"/>
    <s v="Livepath"/>
    <x v="69"/>
    <n v="83"/>
    <n v="50"/>
    <n v="4"/>
    <d v="2024-09-03T00:00:00"/>
    <s v="36124 Carberry Junction"/>
    <x v="57"/>
    <s v="Pending"/>
    <n v="5"/>
    <n v="50"/>
    <s v="Reoeder required"/>
    <s v="Available"/>
  </r>
  <r>
    <s v="89-328-9019"/>
    <x v="14"/>
    <s v="Grains &amp; Pulses"/>
    <s v="Jazzy"/>
    <x v="21"/>
    <n v="43"/>
    <n v="8"/>
    <n v="1.5"/>
    <d v="2024-04-20T00:00:00"/>
    <s v="33774 Carberry Circle"/>
    <x v="79"/>
    <s v="Fulfilled"/>
    <n v="3"/>
    <n v="72"/>
    <s v="Sufficient"/>
    <s v="Available"/>
  </r>
  <r>
    <s v="02-170-5225"/>
    <x v="21"/>
    <s v="Grains &amp; Pulses"/>
    <s v="Eabox"/>
    <x v="82"/>
    <n v="75"/>
    <n v="43"/>
    <n v="1.5"/>
    <d v="2024-09-18T00:00:00"/>
    <s v="36 Bobwhite Parkway"/>
    <x v="62"/>
    <s v="Fulfilled"/>
    <n v="1"/>
    <n v="57"/>
    <s v="Sufficient"/>
    <s v="Available"/>
  </r>
  <r>
    <s v="24-478-8277"/>
    <x v="38"/>
    <s v="Bakery"/>
    <s v="Bubblebox"/>
    <x v="28"/>
    <n v="26"/>
    <n v="40"/>
    <n v="3.25"/>
    <d v="2025-01-12T00:00:00"/>
    <s v="55276 Golf Hill"/>
    <x v="43"/>
    <s v="Fulfilled"/>
    <n v="5"/>
    <n v="72"/>
    <s v="Sufficient"/>
    <s v="Available"/>
  </r>
  <r>
    <s v="91-290-9062"/>
    <x v="99"/>
    <s v="Bakery"/>
    <s v="Zoonder"/>
    <x v="50"/>
    <n v="2"/>
    <n v="84"/>
    <n v="4"/>
    <d v="2024-04-19T00:00:00"/>
    <s v="9821 Novick Hill"/>
    <x v="62"/>
    <s v="Pending"/>
    <n v="4"/>
    <n v="85"/>
    <s v="Sufficient"/>
    <s v="Available"/>
  </r>
  <r>
    <s v="44-546-5713"/>
    <x v="76"/>
    <s v="Fruits &amp; Vegetables"/>
    <s v="Blogpad"/>
    <x v="14"/>
    <n v="69"/>
    <n v="68"/>
    <n v="4"/>
    <d v="2025-01-16T00:00:00"/>
    <s v="832 Goodland Alley"/>
    <x v="38"/>
    <s v="Fulfilled"/>
    <n v="5"/>
    <n v="20"/>
    <s v="Sufficient"/>
    <s v="Available"/>
  </r>
  <r>
    <s v="20-031-0532"/>
    <x v="34"/>
    <s v="Fruits &amp; Vegetables"/>
    <s v="Oyoloo"/>
    <x v="90"/>
    <n v="63"/>
    <n v="92"/>
    <n v="4.9000000000000004"/>
    <d v="2024-07-25T00:00:00"/>
    <s v="8239 Laurel Way"/>
    <x v="45"/>
    <s v="Pending"/>
    <n v="1"/>
    <n v="34"/>
    <s v="Reoeder required"/>
    <s v="Available"/>
  </r>
  <r>
    <s v="48-242-8445"/>
    <x v="4"/>
    <s v="Fruits &amp; Vegetables"/>
    <s v="Mybuzz"/>
    <x v="69"/>
    <n v="3"/>
    <n v="5"/>
    <n v="4"/>
    <d v="2024-06-15T00:00:00"/>
    <s v="29 Vera Drive"/>
    <x v="78"/>
    <s v="Pending"/>
    <n v="2"/>
    <n v="69"/>
    <s v="Sufficient"/>
    <s v="Available"/>
  </r>
  <r>
    <s v="33-378-1365"/>
    <x v="7"/>
    <s v="Dairy"/>
    <s v="Tagchat"/>
    <x v="74"/>
    <n v="66"/>
    <n v="1"/>
    <n v="2.5"/>
    <d v="2024-12-07T00:00:00"/>
    <s v="23560 Talmadge Center"/>
    <x v="50"/>
    <s v="Pending"/>
    <n v="7"/>
    <n v="73"/>
    <s v="Reoeder required"/>
    <s v="Available"/>
  </r>
  <r>
    <s v="57-763-5501"/>
    <x v="73"/>
    <s v="Seafood"/>
    <s v="Kwimbee"/>
    <x v="18"/>
    <n v="29"/>
    <n v="10"/>
    <n v="8"/>
    <d v="2024-04-07T00:00:00"/>
    <s v="46 Colorado Place"/>
    <x v="46"/>
    <s v="Fulfilled"/>
    <n v="2"/>
    <n v="38"/>
    <s v="Sufficient"/>
    <s v="Available"/>
  </r>
  <r>
    <s v="71-015-9181"/>
    <x v="75"/>
    <s v="Fruits &amp; Vegetables"/>
    <s v="Tagopia"/>
    <x v="0"/>
    <n v="35"/>
    <n v="55"/>
    <n v="6"/>
    <d v="2024-08-27T00:00:00"/>
    <s v="62238 Mallory Place"/>
    <x v="69"/>
    <s v="Pending"/>
    <n v="7"/>
    <n v="27"/>
    <s v="Reoeder required"/>
    <s v="Available"/>
  </r>
  <r>
    <s v="14-115-8371"/>
    <x v="61"/>
    <s v="Bakery"/>
    <s v="Yakitri"/>
    <x v="65"/>
    <n v="76"/>
    <n v="70"/>
    <n v="5"/>
    <d v="2024-09-19T00:00:00"/>
    <s v="40 Cody Pass"/>
    <x v="23"/>
    <s v="Pending"/>
    <n v="3"/>
    <n v="38"/>
    <s v="Reoeder required"/>
    <s v="Available"/>
  </r>
  <r>
    <s v="83-568-3475"/>
    <x v="105"/>
    <s v="Seafood"/>
    <s v="Camimbo"/>
    <x v="51"/>
    <n v="72"/>
    <n v="70"/>
    <n v="20"/>
    <d v="2024-04-04T00:00:00"/>
    <s v="29150 Farmco Crossing"/>
    <x v="49"/>
    <s v="Pending"/>
    <n v="2"/>
    <n v="15"/>
    <s v="Reoeder required"/>
    <s v="Available"/>
  </r>
  <r>
    <s v="79-884-8810"/>
    <x v="26"/>
    <s v="Fruits &amp; Vegetables"/>
    <s v="Dabtype"/>
    <x v="3"/>
    <n v="93"/>
    <n v="29"/>
    <n v="1.75"/>
    <d v="2024-12-06T00:00:00"/>
    <s v="546 Declaration Place"/>
    <x v="78"/>
    <s v="Pending"/>
    <n v="7"/>
    <n v="12"/>
    <s v="Reoeder required"/>
    <s v="Available"/>
  </r>
  <r>
    <s v="50-772-2613"/>
    <x v="88"/>
    <s v="Dairy"/>
    <s v="Roomm"/>
    <x v="66"/>
    <n v="23"/>
    <n v="1"/>
    <n v="9"/>
    <d v="2024-05-19T00:00:00"/>
    <s v="7 Lunder Hill"/>
    <x v="10"/>
    <s v="Pending"/>
    <n v="4"/>
    <n v="86"/>
    <s v="Sufficient"/>
    <s v="Available"/>
  </r>
  <r>
    <s v="19-377-5021"/>
    <x v="101"/>
    <s v="Seafood"/>
    <s v="Skynoodle"/>
    <x v="8"/>
    <n v="96"/>
    <n v="90"/>
    <n v="7.5"/>
    <d v="2024-08-11T00:00:00"/>
    <s v="884 Sloan Drive"/>
    <x v="54"/>
    <s v="Fulfilled"/>
    <n v="1"/>
    <n v="75"/>
    <s v="Reoeder required"/>
    <s v="Available"/>
  </r>
  <r>
    <s v="39-913-2999"/>
    <x v="107"/>
    <s v="Dairy"/>
    <s v="Centimia"/>
    <x v="65"/>
    <n v="99"/>
    <n v="97"/>
    <n v="2"/>
    <d v="2024-04-06T00:00:00"/>
    <s v="15 Oriole Park"/>
    <x v="58"/>
    <s v="Pending"/>
    <n v="7"/>
    <n v="76"/>
    <s v="Reoeder required"/>
    <s v="Available"/>
  </r>
  <r>
    <s v="46-911-1159"/>
    <x v="31"/>
    <s v="Fruits &amp; Vegetables"/>
    <s v="Voolia"/>
    <x v="84"/>
    <n v="40"/>
    <n v="100"/>
    <n v="2"/>
    <d v="2024-10-30T00:00:00"/>
    <s v="9171 Norway Maple Trail"/>
    <x v="17"/>
    <s v="Fulfilled"/>
    <n v="2"/>
    <n v="9"/>
    <s v="Sufficient"/>
    <s v="Available"/>
  </r>
  <r>
    <s v="40-630-1431"/>
    <x v="119"/>
    <s v="Fruits &amp; Vegetables"/>
    <s v="Voomm"/>
    <x v="50"/>
    <n v="66"/>
    <n v="21"/>
    <n v="8"/>
    <d v="2024-07-11T00:00:00"/>
    <s v="8119 Homewood Drive"/>
    <x v="49"/>
    <s v="Pending"/>
    <n v="6"/>
    <n v="93"/>
    <s v="Reoeder required"/>
    <s v="Available"/>
  </r>
  <r>
    <s v="15-797-4824"/>
    <x v="72"/>
    <s v="Fruits &amp; Vegetables"/>
    <s v="Mudo"/>
    <x v="90"/>
    <n v="27"/>
    <n v="26"/>
    <n v="5"/>
    <d v="2024-11-20T00:00:00"/>
    <s v="25923 Loeprich Junction"/>
    <x v="39"/>
    <s v="Pending"/>
    <n v="7"/>
    <n v="79"/>
    <s v="Sufficient"/>
    <s v="Available"/>
  </r>
  <r>
    <s v="37-248-6266"/>
    <x v="25"/>
    <s v="Fruits &amp; Vegetables"/>
    <s v="Youspan"/>
    <x v="36"/>
    <n v="74"/>
    <n v="48"/>
    <n v="4.5"/>
    <d v="2024-10-17T00:00:00"/>
    <s v="7051 Calypso Place"/>
    <x v="44"/>
    <s v="Fulfilled"/>
    <n v="8"/>
    <n v="32"/>
    <s v="Sufficient"/>
    <s v="Available"/>
  </r>
  <r>
    <s v="22-760-4605"/>
    <x v="109"/>
    <s v="Dairy"/>
    <s v="Bubblemix"/>
    <x v="66"/>
    <n v="20"/>
    <n v="67"/>
    <n v="1.75"/>
    <d v="2024-07-07T00:00:00"/>
    <s v="09264 Forest Dale Drive"/>
    <x v="48"/>
    <s v="Fulfilled"/>
    <n v="4"/>
    <n v="82"/>
    <s v="Sufficient"/>
    <s v="Available"/>
  </r>
  <r>
    <s v="80-020-8041"/>
    <x v="2"/>
    <s v="Grains &amp; Pulses"/>
    <s v="Wordware"/>
    <x v="73"/>
    <n v="58"/>
    <n v="26"/>
    <n v="6.2"/>
    <d v="2024-12-03T00:00:00"/>
    <s v="662 Vernon Point"/>
    <x v="65"/>
    <s v="Pending"/>
    <n v="6"/>
    <n v="34"/>
    <s v="Reoeder required"/>
    <s v="Available"/>
  </r>
  <r>
    <s v="44-634-8292"/>
    <x v="92"/>
    <s v="Grains &amp; Pulses"/>
    <s v="Quatz"/>
    <x v="34"/>
    <n v="69"/>
    <n v="64"/>
    <n v="2.75"/>
    <d v="2024-03-09T00:00:00"/>
    <s v="46 Orin Drive"/>
    <x v="32"/>
    <s v="Fulfilled"/>
    <n v="7"/>
    <n v="6"/>
    <s v="Reoeder required"/>
    <s v="Available"/>
  </r>
  <r>
    <s v="19-610-2236"/>
    <x v="118"/>
    <s v="Bakery"/>
    <s v="Mybuzz"/>
    <x v="62"/>
    <n v="48"/>
    <n v="9"/>
    <n v="3.5"/>
    <d v="2024-08-03T00:00:00"/>
    <s v="8524 Shelley Way"/>
    <x v="60"/>
    <s v="Pending"/>
    <n v="3"/>
    <n v="69"/>
    <s v="Sufficient"/>
    <s v="Available"/>
  </r>
  <r>
    <s v="49-579-4325"/>
    <x v="47"/>
    <s v="Dairy"/>
    <s v="Eadel"/>
    <x v="56"/>
    <n v="95"/>
    <n v="62"/>
    <n v="6"/>
    <d v="2024-08-22T00:00:00"/>
    <s v="6 Anniversary Circle"/>
    <x v="79"/>
    <s v="Fulfilled"/>
    <n v="2"/>
    <n v="1"/>
    <s v="Reoeder required"/>
    <s v="Available"/>
  </r>
  <r>
    <s v="42-134-9798"/>
    <x v="79"/>
    <s v="Oils &amp; Fats"/>
    <s v="Omba"/>
    <x v="26"/>
    <n v="80"/>
    <n v="87"/>
    <n v="2.2999999999999998"/>
    <d v="2024-10-23T00:00:00"/>
    <s v="0087 Bluejay Plaza"/>
    <x v="55"/>
    <s v="Pending"/>
    <n v="3"/>
    <n v="38"/>
    <s v="Reoeder required"/>
    <s v="Available"/>
  </r>
  <r>
    <s v="84-546-7624"/>
    <x v="119"/>
    <s v="Fruits &amp; Vegetables"/>
    <s v="Gigazoom"/>
    <x v="9"/>
    <n v="41"/>
    <n v="100"/>
    <n v="8"/>
    <d v="2024-04-08T00:00:00"/>
    <s v="61057 Hallows Junction"/>
    <x v="9"/>
    <s v="Fulfilled"/>
    <n v="2"/>
    <n v="78"/>
    <s v="Sufficient"/>
    <s v="Available"/>
  </r>
  <r>
    <s v="11-891-8213"/>
    <x v="59"/>
    <s v="Oils &amp; Fats"/>
    <s v="Tagopia"/>
    <x v="54"/>
    <n v="62"/>
    <n v="47"/>
    <n v="4"/>
    <d v="2024-12-12T00:00:00"/>
    <s v="13 Westport Hill"/>
    <x v="69"/>
    <s v="Pending"/>
    <n v="7"/>
    <n v="34"/>
    <s v="Reoeder required"/>
    <s v="Available"/>
  </r>
  <r>
    <s v="03-597-9488"/>
    <x v="83"/>
    <s v="Dairy"/>
    <s v="Wordpedia"/>
    <x v="67"/>
    <n v="66"/>
    <n v="74"/>
    <n v="2.5"/>
    <d v="2024-07-11T00:00:00"/>
    <s v="53 Lawn Circle"/>
    <x v="11"/>
    <s v="Fulfilled"/>
    <n v="1"/>
    <n v="77"/>
    <s v="Sufficient"/>
    <s v="Available"/>
  </r>
  <r>
    <s v="89-624-7462"/>
    <x v="91"/>
    <s v="Fruits &amp; Vegetables"/>
    <s v="Jaxspan"/>
    <x v="27"/>
    <n v="3"/>
    <n v="39"/>
    <n v="5"/>
    <d v="2025-02-16T00:00:00"/>
    <s v="25 Drewry Alley"/>
    <x v="63"/>
    <s v="Pending"/>
    <n v="5"/>
    <n v="61"/>
    <s v="Sufficient"/>
    <s v="Available"/>
  </r>
  <r>
    <s v="89-335-0155"/>
    <x v="104"/>
    <s v="Grains &amp; Pulses"/>
    <s v="Fivebridge"/>
    <x v="29"/>
    <n v="81"/>
    <n v="47"/>
    <n v="2.5"/>
    <d v="2024-09-11T00:00:00"/>
    <s v="9 Kipling Road"/>
    <x v="67"/>
    <s v="Pending"/>
    <n v="5"/>
    <n v="48"/>
    <s v="Reoeder required"/>
    <s v="Available"/>
  </r>
  <r>
    <s v="59-725-4038"/>
    <x v="1"/>
    <s v="Beverages"/>
    <s v="Zoozzy"/>
    <x v="87"/>
    <n v="34"/>
    <n v="39"/>
    <n v="20.5"/>
    <d v="2024-08-26T00:00:00"/>
    <s v="697 Hoepker Center"/>
    <x v="4"/>
    <s v="Fulfilled"/>
    <n v="1"/>
    <n v="2"/>
    <s v="Sufficient"/>
    <s v="Available"/>
  </r>
  <r>
    <s v="78-953-2073"/>
    <x v="79"/>
    <s v="Oils &amp; Fats"/>
    <s v="Tagopia"/>
    <x v="58"/>
    <n v="20"/>
    <n v="75"/>
    <n v="2.2999999999999998"/>
    <d v="2024-10-01T00:00:00"/>
    <s v="085 Reinke Pass"/>
    <x v="48"/>
    <s v="Pending"/>
    <n v="7"/>
    <n v="77"/>
    <s v="Sufficient"/>
    <s v="Available"/>
  </r>
  <r>
    <s v="91-426-3204"/>
    <x v="30"/>
    <s v="Seafood"/>
    <s v="Geba"/>
    <x v="38"/>
    <n v="71"/>
    <n v="4"/>
    <n v="9"/>
    <d v="2024-04-14T00:00:00"/>
    <s v="269 Dakota Trail"/>
    <x v="50"/>
    <s v="Pending"/>
    <n v="4"/>
    <n v="34"/>
    <s v="Reoeder required"/>
    <s v="Available"/>
  </r>
  <r>
    <s v="40-913-9772"/>
    <x v="120"/>
    <s v="Dairy"/>
    <s v="Einti"/>
    <x v="80"/>
    <n v="30"/>
    <n v="44"/>
    <n v="0.2"/>
    <d v="2024-03-03T00:00:00"/>
    <s v="553 Hooker Trail"/>
    <x v="58"/>
    <s v="Pending"/>
    <n v="5"/>
    <n v="88"/>
    <s v="Sufficient"/>
    <s v="Available"/>
  </r>
  <r>
    <s v="89-922-4773"/>
    <x v="92"/>
    <s v="Grains &amp; Pulses"/>
    <s v="Mudo"/>
    <x v="30"/>
    <n v="53"/>
    <n v="64"/>
    <n v="2.75"/>
    <d v="2024-07-02T00:00:00"/>
    <s v="11 Thackeray Hill"/>
    <x v="57"/>
    <s v="Pending"/>
    <n v="8"/>
    <n v="8"/>
    <s v="Reoeder required"/>
    <s v="Available"/>
  </r>
  <r>
    <s v="17-236-0566"/>
    <x v="116"/>
    <s v="Fruits &amp; Vegetables"/>
    <s v="Einti"/>
    <x v="12"/>
    <n v="87"/>
    <n v="13"/>
    <n v="2"/>
    <d v="2024-03-02T00:00:00"/>
    <s v="803 5th Alley"/>
    <x v="26"/>
    <s v="Fulfilled"/>
    <n v="4"/>
    <n v="4"/>
    <s v="Sufficient"/>
    <s v="Available"/>
  </r>
  <r>
    <s v="74-234-0628"/>
    <x v="69"/>
    <s v="Grains &amp; Pulses"/>
    <s v="Shuffledrive"/>
    <x v="3"/>
    <n v="56"/>
    <n v="92"/>
    <n v="9.5"/>
    <d v="2024-12-15T00:00:00"/>
    <s v="2 Veith Crossing"/>
    <x v="8"/>
    <s v="Pending"/>
    <n v="5"/>
    <n v="6"/>
    <s v="Reoeder required"/>
    <s v="Available"/>
  </r>
  <r>
    <s v="80-441-7249"/>
    <x v="114"/>
    <s v="Grains &amp; Pulses"/>
    <s v="Yoveo"/>
    <x v="84"/>
    <n v="30"/>
    <n v="39"/>
    <n v="10"/>
    <d v="2024-04-14T00:00:00"/>
    <s v="652 High Crossing Lane"/>
    <x v="2"/>
    <s v="Fulfilled"/>
    <n v="4"/>
    <n v="26"/>
    <s v="Sufficient"/>
    <s v="Available"/>
  </r>
  <r>
    <s v="54-708-7327"/>
    <x v="65"/>
    <s v="Grains &amp; Pulses"/>
    <s v="Linktype"/>
    <x v="74"/>
    <n v="14"/>
    <n v="99"/>
    <n v="4.75"/>
    <d v="2024-03-28T00:00:00"/>
    <s v="8182 Hazelcrest Place"/>
    <x v="20"/>
    <s v="Pending"/>
    <n v="6"/>
    <n v="75"/>
    <s v="Sufficient"/>
    <s v="Available"/>
  </r>
  <r>
    <s v="15-846-7959"/>
    <x v="32"/>
    <s v="Fruits &amp; Vegetables"/>
    <s v="Vidoo"/>
    <x v="84"/>
    <n v="14"/>
    <n v="11"/>
    <n v="2.5"/>
    <d v="2024-12-01T00:00:00"/>
    <s v="6251 Eliot Hill"/>
    <x v="67"/>
    <s v="Fulfilled"/>
    <n v="2"/>
    <n v="38"/>
    <s v="Sufficient"/>
    <s v="Available"/>
  </r>
  <r>
    <s v="44-368-7112"/>
    <x v="6"/>
    <s v="Oils &amp; Fats"/>
    <s v="Devbug"/>
    <x v="44"/>
    <n v="32"/>
    <n v="71"/>
    <n v="2.5"/>
    <d v="2024-05-02T00:00:00"/>
    <s v="82 Hintze Court"/>
    <x v="0"/>
    <s v="Pending"/>
    <n v="7"/>
    <n v="49"/>
    <s v="Reoeder required"/>
    <s v="Available"/>
  </r>
  <r>
    <s v="03-833-3577"/>
    <x v="26"/>
    <s v="Fruits &amp; Vegetables"/>
    <s v="Kanoodle"/>
    <x v="38"/>
    <n v="14"/>
    <n v="25"/>
    <n v="1.8"/>
    <d v="2024-08-20T00:00:00"/>
    <s v="38 Killdeer Point"/>
    <x v="68"/>
    <s v="Pending"/>
    <n v="8"/>
    <n v="77"/>
    <s v="Sufficient"/>
    <s v="Available"/>
  </r>
  <r>
    <s v="47-548-6500"/>
    <x v="31"/>
    <s v="Fruits &amp; Vegetables"/>
    <s v="Devpulse"/>
    <x v="53"/>
    <n v="93"/>
    <n v="37"/>
    <n v="2"/>
    <d v="2024-03-07T00:00:00"/>
    <s v="06 Shopko Pass"/>
    <x v="61"/>
    <s v="Pending"/>
    <n v="2"/>
    <n v="2"/>
    <s v="Reoeder required"/>
    <s v="Available"/>
  </r>
  <r>
    <s v="12-342-4482"/>
    <x v="17"/>
    <s v="Seafood"/>
    <s v="Topicblab"/>
    <x v="38"/>
    <n v="83"/>
    <n v="90"/>
    <n v="11.6"/>
    <d v="2024-09-30T00:00:00"/>
    <s v="374 Blue Bill Park Point"/>
    <x v="15"/>
    <s v="Fulfilled"/>
    <n v="5"/>
    <n v="77"/>
    <s v="Reoeder required"/>
    <s v="Available"/>
  </r>
  <r>
    <s v="07-834-3320"/>
    <x v="22"/>
    <s v="Dairy"/>
    <s v="Trunyx"/>
    <x v="14"/>
    <n v="60"/>
    <n v="78"/>
    <n v="0.8"/>
    <d v="2024-03-07T00:00:00"/>
    <s v="79 Monterey Avenue"/>
    <x v="10"/>
    <s v="Pending"/>
    <n v="5"/>
    <n v="42"/>
    <s v="Sufficient"/>
    <s v="Available"/>
  </r>
  <r>
    <s v="16-187-5729"/>
    <x v="46"/>
    <s v="Beverages"/>
    <s v="Zoombeat"/>
    <x v="1"/>
    <n v="58"/>
    <n v="84"/>
    <n v="5"/>
    <d v="2024-03-21T00:00:00"/>
    <s v="22555 Macpherson Plaza"/>
    <x v="54"/>
    <s v="Pending"/>
    <n v="4"/>
    <n v="67"/>
    <s v="Reoeder required"/>
    <s v="Available"/>
  </r>
  <r>
    <s v="64-109-7362"/>
    <x v="95"/>
    <s v="Seafood"/>
    <s v="Voolia"/>
    <x v="66"/>
    <n v="55"/>
    <n v="96"/>
    <n v="10"/>
    <d v="2024-07-09T00:00:00"/>
    <s v="7 Harper Drive"/>
    <x v="36"/>
    <s v="Fulfilled"/>
    <n v="8"/>
    <n v="53"/>
    <s v="Sufficient"/>
    <s v="Available"/>
  </r>
  <r>
    <s v="06-655-5498"/>
    <x v="114"/>
    <s v="Grains &amp; Pulses"/>
    <s v="Kayveo"/>
    <x v="18"/>
    <n v="82"/>
    <n v="52"/>
    <n v="9.75"/>
    <d v="2024-07-09T00:00:00"/>
    <s v="8569 Bashford Court"/>
    <x v="32"/>
    <s v="Fulfilled"/>
    <n v="4"/>
    <n v="95"/>
    <s v="Reoeder required"/>
    <s v="Available"/>
  </r>
  <r>
    <s v="24-975-4231"/>
    <x v="18"/>
    <s v="Fruits &amp; Vegetables"/>
    <s v="Jayo"/>
    <x v="22"/>
    <n v="61"/>
    <n v="28"/>
    <n v="2.1"/>
    <d v="2024-07-09T00:00:00"/>
    <s v="62494 Longview Drive"/>
    <x v="79"/>
    <s v="Pending"/>
    <n v="5"/>
    <n v="70"/>
    <s v="Reoeder required"/>
    <s v="Available"/>
  </r>
  <r>
    <s v="98-652-9569"/>
    <x v="56"/>
    <s v="Bakery"/>
    <s v="Ooba"/>
    <x v="3"/>
    <n v="7"/>
    <n v="23"/>
    <n v="6"/>
    <d v="2025-02-17T00:00:00"/>
    <s v="32 6th Lane"/>
    <x v="53"/>
    <s v="Pending"/>
    <n v="2"/>
    <n v="16"/>
    <s v="Sufficient"/>
    <s v="Available"/>
  </r>
  <r>
    <s v="25-522-6043"/>
    <x v="81"/>
    <s v="Dairy"/>
    <s v="Kazu"/>
    <x v="86"/>
    <n v="93"/>
    <n v="75"/>
    <n v="7"/>
    <d v="2024-08-19T00:00:00"/>
    <s v="890 Eggendart Pass"/>
    <x v="76"/>
    <s v="Pending"/>
    <n v="4"/>
    <n v="58"/>
    <s v="Reoeder required"/>
    <s v="Available"/>
  </r>
  <r>
    <s v="28-275-5901"/>
    <x v="95"/>
    <s v="Seafood"/>
    <s v="Jatri"/>
    <x v="56"/>
    <n v="1"/>
    <n v="92"/>
    <n v="10"/>
    <d v="2024-04-23T00:00:00"/>
    <s v="4 Doe Crossing Avenue"/>
    <x v="65"/>
    <s v="Fulfilled"/>
    <n v="1"/>
    <n v="15"/>
    <s v="Sufficient"/>
    <s v="Available"/>
  </r>
  <r>
    <s v="96-164-0607"/>
    <x v="117"/>
    <s v="Oils &amp; Fats"/>
    <s v="Browsezoom"/>
    <x v="52"/>
    <n v="79"/>
    <n v="66"/>
    <n v="5"/>
    <d v="2024-12-20T00:00:00"/>
    <s v="1275 Lawn Center"/>
    <x v="56"/>
    <s v="Pending"/>
    <n v="6"/>
    <n v="31"/>
    <s v="Sufficient"/>
    <s v="Available"/>
  </r>
  <r>
    <s v="93-815-0565"/>
    <x v="90"/>
    <s v="Oils &amp; Fats"/>
    <s v="Jaxworks"/>
    <x v="74"/>
    <n v="36"/>
    <n v="96"/>
    <n v="6.5"/>
    <d v="2024-08-12T00:00:00"/>
    <s v="8868 Armistice Place"/>
    <x v="59"/>
    <s v="Pending"/>
    <n v="6"/>
    <n v="73"/>
    <s v="Sufficient"/>
    <s v="Available"/>
  </r>
  <r>
    <s v="63-918-8253"/>
    <x v="34"/>
    <s v="Fruits &amp; Vegetables"/>
    <s v="Devpulse"/>
    <x v="58"/>
    <n v="98"/>
    <n v="23"/>
    <n v="5"/>
    <d v="2024-07-04T00:00:00"/>
    <s v="917 Westerfield Terrace"/>
    <x v="69"/>
    <s v="Fulfilled"/>
    <n v="6"/>
    <n v="84"/>
    <s v="Reoeder required"/>
    <s v="Available"/>
  </r>
  <r>
    <s v="57-167-0669"/>
    <x v="30"/>
    <s v="Seafood"/>
    <s v="Rhybox"/>
    <x v="26"/>
    <n v="99"/>
    <n v="78"/>
    <n v="9"/>
    <d v="2025-02-17T00:00:00"/>
    <s v="1005 Lyons Junction"/>
    <x v="18"/>
    <s v="Pending"/>
    <n v="1"/>
    <n v="54"/>
    <s v="Reoeder required"/>
    <s v="Available"/>
  </r>
  <r>
    <s v="52-402-9245"/>
    <x v="50"/>
    <s v="Fruits &amp; Vegetables"/>
    <s v="Plajo"/>
    <x v="52"/>
    <n v="40"/>
    <n v="64"/>
    <n v="4"/>
    <d v="2025-02-12T00:00:00"/>
    <s v="185 Stone Corner Parkway"/>
    <x v="47"/>
    <s v="Pending"/>
    <n v="8"/>
    <n v="48"/>
    <s v="Sufficient"/>
    <s v="Available"/>
  </r>
  <r>
    <s v="17-647-0503"/>
    <x v="73"/>
    <s v="Seafood"/>
    <s v="Katz"/>
    <x v="6"/>
    <n v="12"/>
    <n v="8"/>
    <n v="8"/>
    <d v="2024-05-24T00:00:00"/>
    <s v="0 Village Green Street"/>
    <x v="23"/>
    <s v="Pending"/>
    <n v="1"/>
    <n v="92"/>
    <s v="Sufficient"/>
    <s v="Available"/>
  </r>
  <r>
    <s v="67-984-5368"/>
    <x v="20"/>
    <s v="Dairy"/>
    <s v="Yakidoo"/>
    <x v="60"/>
    <n v="56"/>
    <n v="34"/>
    <n v="12"/>
    <d v="2024-10-04T00:00:00"/>
    <s v="0 Fordem Place"/>
    <x v="2"/>
    <s v="Fulfilled"/>
    <n v="8"/>
    <n v="69"/>
    <s v="Reoeder required"/>
    <s v="Available"/>
  </r>
  <r>
    <s v="77-827-0820"/>
    <x v="90"/>
    <s v="Oils &amp; Fats"/>
    <s v="Youopia"/>
    <x v="23"/>
    <n v="20"/>
    <n v="8"/>
    <n v="6.5"/>
    <d v="2024-11-06T00:00:00"/>
    <s v="8851 Superior Park"/>
    <x v="32"/>
    <s v="Fulfilled"/>
    <n v="7"/>
    <n v="51"/>
    <s v="Sufficient"/>
    <s v="Available"/>
  </r>
  <r>
    <s v="27-387-0428"/>
    <x v="105"/>
    <s v="Seafood"/>
    <s v="Camido"/>
    <x v="20"/>
    <n v="42"/>
    <n v="68"/>
    <n v="20"/>
    <d v="2024-11-29T00:00:00"/>
    <s v="1715 Dottie Pass"/>
    <x v="57"/>
    <s v="Pending"/>
    <n v="1"/>
    <n v="29"/>
    <s v="Sufficient"/>
    <s v="Available"/>
  </r>
  <r>
    <s v="79-350-5841"/>
    <x v="65"/>
    <s v="Grains &amp; Pulses"/>
    <s v="Gabvine"/>
    <x v="64"/>
    <n v="44"/>
    <n v="89"/>
    <n v="4.75"/>
    <d v="2024-09-05T00:00:00"/>
    <s v="75 Cascade Avenue"/>
    <x v="47"/>
    <s v="Pending"/>
    <n v="5"/>
    <n v="19"/>
    <s v="Reoeder required"/>
    <s v="Available"/>
  </r>
  <r>
    <s v="44-128-2185"/>
    <x v="65"/>
    <s v="Grains &amp; Pulses"/>
    <s v="Katz"/>
    <x v="84"/>
    <n v="20"/>
    <n v="81"/>
    <n v="4.75"/>
    <d v="2024-07-10T00:00:00"/>
    <s v="012 Mockingbird Court"/>
    <x v="32"/>
    <s v="Fulfilled"/>
    <n v="3"/>
    <n v="23"/>
    <s v="Sufficient"/>
    <s v="Available"/>
  </r>
  <r>
    <s v="48-789-9187"/>
    <x v="76"/>
    <s v="Fruits &amp; Vegetables"/>
    <s v="Browsetype"/>
    <x v="1"/>
    <n v="79"/>
    <n v="95"/>
    <n v="4"/>
    <d v="2024-06-26T00:00:00"/>
    <s v="41 Stephen Crossing"/>
    <x v="45"/>
    <s v="Pending"/>
    <n v="1"/>
    <n v="62"/>
    <s v="Reoeder required"/>
    <s v="Available"/>
  </r>
  <r>
    <s v="21-809-7115"/>
    <x v="77"/>
    <s v="Grains &amp; Pulses"/>
    <s v="Tagcat"/>
    <x v="76"/>
    <n v="86"/>
    <n v="50"/>
    <n v="1.8"/>
    <d v="2024-07-22T00:00:00"/>
    <s v="3053 Sachs Center"/>
    <x v="17"/>
    <s v="Fulfilled"/>
    <n v="8"/>
    <n v="69"/>
    <s v="Reoeder required"/>
    <s v="Available"/>
  </r>
  <r>
    <s v="19-323-0506"/>
    <x v="105"/>
    <s v="Seafood"/>
    <s v="Skidoo"/>
    <x v="75"/>
    <n v="43"/>
    <n v="96"/>
    <n v="20"/>
    <d v="2024-04-28T00:00:00"/>
    <s v="5 Ohio Lane"/>
    <x v="71"/>
    <s v="Pending"/>
    <n v="6"/>
    <n v="35"/>
    <s v="Sufficient"/>
    <s v="Available"/>
  </r>
  <r>
    <s v="04-637-8815"/>
    <x v="106"/>
    <s v="Fruits &amp; Vegetables"/>
    <s v="Zoonder"/>
    <x v="82"/>
    <n v="91"/>
    <n v="62"/>
    <n v="5"/>
    <d v="2024-11-27T00:00:00"/>
    <s v="537 Maple Alley"/>
    <x v="5"/>
    <s v="Fulfilled"/>
    <n v="6"/>
    <n v="72"/>
    <s v="Reoeder required"/>
    <s v="Available"/>
  </r>
  <r>
    <s v="60-644-6596"/>
    <x v="17"/>
    <s v="Seafood"/>
    <s v="Rhynoodle"/>
    <x v="52"/>
    <n v="67"/>
    <n v="89"/>
    <n v="12"/>
    <d v="2025-01-05T00:00:00"/>
    <s v="22 Hudson Pass"/>
    <x v="40"/>
    <s v="Pending"/>
    <n v="4"/>
    <n v="42"/>
    <s v="Sufficient"/>
    <s v="Available"/>
  </r>
  <r>
    <s v="58-005-5343"/>
    <x v="26"/>
    <s v="Fruits &amp; Vegetables"/>
    <s v="Youbridge"/>
    <x v="54"/>
    <n v="94"/>
    <n v="87"/>
    <n v="1.8"/>
    <d v="2024-05-03T00:00:00"/>
    <s v="43211 Lakeland Place"/>
    <x v="72"/>
    <s v="Pending"/>
    <n v="5"/>
    <n v="100"/>
    <s v="Reoeder required"/>
    <s v="Available"/>
  </r>
  <r>
    <s v="67-382-4435"/>
    <x v="18"/>
    <s v="Fruits &amp; Vegetables"/>
    <s v="Fivespan"/>
    <x v="47"/>
    <n v="37"/>
    <n v="74"/>
    <n v="2.1"/>
    <d v="2024-12-21T00:00:00"/>
    <s v="92 Bartelt Terrace"/>
    <x v="17"/>
    <s v="Fulfilled"/>
    <n v="4"/>
    <n v="46"/>
    <s v="Sufficient"/>
    <s v="Available"/>
  </r>
  <r>
    <s v="09-335-7793"/>
    <x v="86"/>
    <s v="Grains &amp; Pulses"/>
    <s v="Topicshots"/>
    <x v="57"/>
    <n v="19"/>
    <n v="20"/>
    <n v="2.4"/>
    <d v="2024-09-07T00:00:00"/>
    <s v="5649 Vidon Plaza"/>
    <x v="43"/>
    <s v="Fulfilled"/>
    <n v="3"/>
    <n v="49"/>
    <s v="Sufficient"/>
    <s v="Available"/>
  </r>
  <r>
    <s v="46-496-2930"/>
    <x v="75"/>
    <s v="Fruits &amp; Vegetables"/>
    <s v="Eare"/>
    <x v="57"/>
    <n v="28"/>
    <n v="7"/>
    <n v="6"/>
    <d v="2024-10-26T00:00:00"/>
    <s v="156 Golf Course Alley"/>
    <x v="1"/>
    <s v="Pending"/>
    <n v="8"/>
    <n v="6"/>
    <s v="Sufficient"/>
    <s v="Available"/>
  </r>
  <r>
    <s v="35-353-4068"/>
    <x v="14"/>
    <s v="Grains &amp; Pulses"/>
    <s v="Jetpulse"/>
    <x v="56"/>
    <n v="11"/>
    <n v="97"/>
    <n v="1.5"/>
    <d v="2024-12-18T00:00:00"/>
    <s v="8583 Northwestern Terrace"/>
    <x v="55"/>
    <s v="Fulfilled"/>
    <n v="6"/>
    <n v="83"/>
    <s v="Sufficient"/>
    <s v="Available"/>
  </r>
  <r>
    <s v="45-050-4720"/>
    <x v="2"/>
    <s v="Grains &amp; Pulses"/>
    <s v="Voonder"/>
    <x v="27"/>
    <n v="78"/>
    <n v="43"/>
    <n v="6"/>
    <d v="2024-07-05T00:00:00"/>
    <s v="7 Ridge Oak Pass"/>
    <x v="1"/>
    <s v="Pending"/>
    <n v="1"/>
    <n v="97"/>
    <s v="Reoeder required"/>
    <s v="Available"/>
  </r>
  <r>
    <s v="87-104-0187"/>
    <x v="92"/>
    <s v="Grains &amp; Pulses"/>
    <s v="Rhyloo"/>
    <x v="66"/>
    <n v="100"/>
    <n v="78"/>
    <n v="2.75"/>
    <d v="2024-05-28T00:00:00"/>
    <s v="0 Moose Lane"/>
    <x v="20"/>
    <s v="Fulfilled"/>
    <n v="4"/>
    <n v="91"/>
    <s v="Reoeder required"/>
    <s v="Available"/>
  </r>
  <r>
    <s v="85-806-8672"/>
    <x v="46"/>
    <s v="Beverages"/>
    <s v="Kare"/>
    <x v="51"/>
    <n v="88"/>
    <n v="87"/>
    <n v="4.7"/>
    <d v="2024-10-12T00:00:00"/>
    <s v="24 South Trail"/>
    <x v="34"/>
    <s v="Pending"/>
    <n v="6"/>
    <n v="62"/>
    <s v="Reoeder required"/>
    <s v="Available"/>
  </r>
  <r>
    <s v="54-281-3746"/>
    <x v="18"/>
    <s v="Fruits &amp; Vegetables"/>
    <s v="Viva"/>
    <x v="11"/>
    <n v="70"/>
    <n v="52"/>
    <n v="2"/>
    <d v="2024-03-10T00:00:00"/>
    <s v="00 Ridgeway Plaza"/>
    <x v="66"/>
    <s v="Pending"/>
    <n v="2"/>
    <n v="10"/>
    <s v="Reoeder required"/>
    <s v="Available"/>
  </r>
  <r>
    <s v="35-257-9312"/>
    <x v="20"/>
    <s v="Dairy"/>
    <s v="Photospace"/>
    <x v="76"/>
    <n v="100"/>
    <n v="48"/>
    <n v="12"/>
    <d v="2024-10-12T00:00:00"/>
    <s v="9463 Northland Court"/>
    <x v="10"/>
    <s v="Pending"/>
    <n v="4"/>
    <n v="28"/>
    <s v="Reoeder required"/>
    <s v="Available"/>
  </r>
  <r>
    <s v="63-897-8088"/>
    <x v="32"/>
    <s v="Fruits &amp; Vegetables"/>
    <s v="Skibox"/>
    <x v="21"/>
    <n v="56"/>
    <n v="33"/>
    <n v="2.5"/>
    <d v="2024-06-07T00:00:00"/>
    <s v="7944 Elgar Alley"/>
    <x v="41"/>
    <s v="Fulfilled"/>
    <n v="3"/>
    <n v="16"/>
    <s v="Sufficient"/>
    <s v="Available"/>
  </r>
  <r>
    <s v="24-986-5091"/>
    <x v="113"/>
    <s v="Bakery"/>
    <s v="Ozu"/>
    <x v="52"/>
    <n v="22"/>
    <n v="23"/>
    <n v="5.5"/>
    <d v="2024-06-25T00:00:00"/>
    <s v="88 Lighthouse Bay Crossing"/>
    <x v="48"/>
    <s v="Fulfilled"/>
    <n v="7"/>
    <n v="25"/>
    <s v="Sufficient"/>
    <s v="Available"/>
  </r>
  <r>
    <s v="17-504-3699"/>
    <x v="116"/>
    <s v="Fruits &amp; Vegetables"/>
    <s v="Jaxworks"/>
    <x v="76"/>
    <n v="60"/>
    <n v="71"/>
    <n v="2"/>
    <d v="2024-06-15T00:00:00"/>
    <s v="18 Daystar Parkway"/>
    <x v="60"/>
    <s v="Pending"/>
    <n v="2"/>
    <n v="13"/>
    <s v="Sufficient"/>
    <s v="Available"/>
  </r>
  <r>
    <s v="23-395-3157"/>
    <x v="87"/>
    <s v="Oils &amp; Fats"/>
    <s v="Tagtune"/>
    <x v="41"/>
    <n v="66"/>
    <n v="50"/>
    <n v="2"/>
    <d v="2024-07-30T00:00:00"/>
    <s v="74 Sugar Plaza"/>
    <x v="79"/>
    <s v="Pending"/>
    <n v="6"/>
    <n v="74"/>
    <s v="Reoeder required"/>
    <s v="Available"/>
  </r>
  <r>
    <s v="28-107-4953"/>
    <x v="61"/>
    <s v="Bakery"/>
    <s v="Babbleblab"/>
    <x v="58"/>
    <n v="19"/>
    <n v="94"/>
    <n v="5"/>
    <d v="2024-11-12T00:00:00"/>
    <s v="29755 Daystar Street"/>
    <x v="19"/>
    <s v="Pending"/>
    <n v="6"/>
    <n v="56"/>
    <s v="Sufficient"/>
    <s v="Available"/>
  </r>
  <r>
    <s v="46-083-7058"/>
    <x v="30"/>
    <s v="Seafood"/>
    <s v="Devshare"/>
    <x v="33"/>
    <n v="91"/>
    <n v="40"/>
    <n v="9"/>
    <d v="2024-08-27T00:00:00"/>
    <s v="21530 Prentice Place"/>
    <x v="5"/>
    <s v="Fulfilled"/>
    <n v="4"/>
    <n v="76"/>
    <s v="Reoeder required"/>
    <s v="Available"/>
  </r>
  <r>
    <s v="68-436-1268"/>
    <x v="9"/>
    <s v="Dairy"/>
    <s v="Aivee"/>
    <x v="67"/>
    <n v="92"/>
    <n v="74"/>
    <n v="1"/>
    <d v="2024-08-17T00:00:00"/>
    <s v="1 Mockingbird Parkway"/>
    <x v="3"/>
    <s v="Pending"/>
    <n v="4"/>
    <n v="26"/>
    <s v="Reoeder required"/>
    <s v="Available"/>
  </r>
  <r>
    <s v="93-198-5984"/>
    <x v="34"/>
    <s v="Fruits &amp; Vegetables"/>
    <s v="Skalith"/>
    <x v="49"/>
    <n v="69"/>
    <n v="1"/>
    <n v="5"/>
    <d v="2024-05-14T00:00:00"/>
    <s v="54706 Prairieview Point"/>
    <x v="25"/>
    <s v="Fulfilled"/>
    <n v="2"/>
    <n v="67"/>
    <s v="Sufficient"/>
    <s v="Available"/>
  </r>
  <r>
    <s v="24-571-1080"/>
    <x v="100"/>
    <s v="Fruits &amp; Vegetables"/>
    <s v="Devshare"/>
    <x v="34"/>
    <n v="15"/>
    <n v="89"/>
    <n v="4"/>
    <d v="2025-02-21T00:00:00"/>
    <s v="5325 Milwaukee Lane"/>
    <x v="7"/>
    <s v="Fulfilled"/>
    <n v="4"/>
    <n v="29"/>
    <s v="Sufficient"/>
    <s v="Available"/>
  </r>
  <r>
    <s v="73-874-7534"/>
    <x v="75"/>
    <s v="Fruits &amp; Vegetables"/>
    <s v="Twitterwire"/>
    <x v="20"/>
    <n v="24"/>
    <n v="44"/>
    <n v="6"/>
    <d v="2024-11-08T00:00:00"/>
    <s v="901 Norway Maple Crossing"/>
    <x v="53"/>
    <s v="Fulfilled"/>
    <n v="5"/>
    <n v="88"/>
    <s v="Sufficient"/>
    <s v="Available"/>
  </r>
  <r>
    <s v="07-337-9889"/>
    <x v="78"/>
    <s v="Fruits &amp; Vegetables"/>
    <s v="Twitterwire"/>
    <x v="12"/>
    <n v="6"/>
    <n v="59"/>
    <n v="2.5"/>
    <d v="2024-08-15T00:00:00"/>
    <s v="4 Loomis Way"/>
    <x v="65"/>
    <s v="Fulfilled"/>
    <n v="5"/>
    <n v="77"/>
    <s v="Sufficient"/>
    <s v="Available"/>
  </r>
  <r>
    <s v="28-197-9246"/>
    <x v="86"/>
    <s v="Grains &amp; Pulses"/>
    <s v="Riffwire"/>
    <x v="28"/>
    <n v="30"/>
    <n v="16"/>
    <n v="2.5"/>
    <d v="2024-07-11T00:00:00"/>
    <s v="8499 Hanover Terrace"/>
    <x v="70"/>
    <s v="Fulfilled"/>
    <n v="4"/>
    <n v="81"/>
    <s v="Sufficient"/>
    <s v="Available"/>
  </r>
  <r>
    <s v="83-400-9746"/>
    <x v="49"/>
    <s v="Dairy"/>
    <s v="Eidel"/>
    <x v="35"/>
    <n v="1"/>
    <n v="65"/>
    <n v="7"/>
    <d v="2024-07-12T00:00:00"/>
    <s v="40 Merchant Terrace"/>
    <x v="63"/>
    <s v="Pending"/>
    <n v="8"/>
    <n v="61"/>
    <s v="Sufficient"/>
    <s v="Available"/>
  </r>
  <r>
    <s v="24-579-6500"/>
    <x v="95"/>
    <s v="Seafood"/>
    <s v="Zoovu"/>
    <x v="81"/>
    <n v="51"/>
    <n v="70"/>
    <n v="10"/>
    <d v="2024-06-12T00:00:00"/>
    <s v="4 Stang Place"/>
    <x v="68"/>
    <s v="Fulfilled"/>
    <n v="5"/>
    <n v="18"/>
    <s v="Sufficient"/>
    <s v="Available"/>
  </r>
  <r>
    <s v="64-418-8356"/>
    <x v="97"/>
    <s v="Oils &amp; Fats"/>
    <s v="Ooba"/>
    <x v="76"/>
    <n v="24"/>
    <n v="60"/>
    <n v="2.5"/>
    <d v="2024-11-13T00:00:00"/>
    <s v="1 Green Hill"/>
    <x v="60"/>
    <s v="Pending"/>
    <n v="8"/>
    <n v="38"/>
    <s v="Sufficient"/>
    <s v="Available"/>
  </r>
  <r>
    <s v="15-884-7413"/>
    <x v="110"/>
    <s v="Fruits &amp; Vegetables"/>
    <s v="Geba"/>
    <x v="25"/>
    <n v="58"/>
    <n v="13"/>
    <n v="3.5"/>
    <d v="2024-05-23T00:00:00"/>
    <s v="6225 Westend Pass"/>
    <x v="13"/>
    <s v="Fulfilled"/>
    <n v="5"/>
    <n v="28"/>
    <s v="Sufficient"/>
    <s v="Available"/>
  </r>
  <r>
    <s v="79-494-2472"/>
    <x v="18"/>
    <s v="Fruits &amp; Vegetables"/>
    <s v="Kanoodle"/>
    <x v="83"/>
    <n v="48"/>
    <n v="18"/>
    <n v="2"/>
    <d v="2024-04-19T00:00:00"/>
    <s v="1615 Bellgrove Crossing"/>
    <x v="34"/>
    <s v="Fulfilled"/>
    <n v="4"/>
    <n v="57"/>
    <s v="Reoeder required"/>
    <s v="Available"/>
  </r>
  <r>
    <s v="36-177-0573"/>
    <x v="89"/>
    <s v="Dairy"/>
    <s v="Oyondu"/>
    <x v="40"/>
    <n v="1"/>
    <n v="23"/>
    <n v="2.5"/>
    <d v="2024-10-02T00:00:00"/>
    <s v="35 Portage Road"/>
    <x v="16"/>
    <s v="Fulfilled"/>
    <n v="1"/>
    <n v="36"/>
    <s v="Sufficient"/>
    <s v="Available"/>
  </r>
  <r>
    <s v="79-920-2395"/>
    <x v="23"/>
    <s v="Fruits &amp; Vegetables"/>
    <s v="Chatterpoint"/>
    <x v="19"/>
    <n v="23"/>
    <n v="17"/>
    <n v="6.25"/>
    <d v="2024-05-08T00:00:00"/>
    <s v="911 Merry Junction"/>
    <x v="57"/>
    <s v="Pending"/>
    <n v="1"/>
    <n v="78"/>
    <s v="Sufficient"/>
    <s v="Available"/>
  </r>
  <r>
    <s v="96-961-2193"/>
    <x v="65"/>
    <s v="Grains &amp; Pulses"/>
    <s v="Babbleset"/>
    <x v="29"/>
    <n v="39"/>
    <n v="11"/>
    <n v="4.75"/>
    <d v="2024-08-16T00:00:00"/>
    <s v="63578 Butternut Hill"/>
    <x v="66"/>
    <s v="Fulfilled"/>
    <n v="3"/>
    <n v="54"/>
    <s v="Sufficient"/>
    <s v="Available"/>
  </r>
  <r>
    <s v="69-578-7930"/>
    <x v="104"/>
    <s v="Grains &amp; Pulses"/>
    <s v="Flipbug"/>
    <x v="7"/>
    <n v="67"/>
    <n v="31"/>
    <n v="2.5"/>
    <d v="2024-03-18T00:00:00"/>
    <s v="83291 Hansons Crossing"/>
    <x v="37"/>
    <s v="Fulfilled"/>
    <n v="8"/>
    <n v="72"/>
    <s v="Reoeder required"/>
    <s v="Available"/>
  </r>
  <r>
    <s v="40-205-8252"/>
    <x v="38"/>
    <s v="Bakery"/>
    <s v="Innojam"/>
    <x v="54"/>
    <n v="37"/>
    <n v="27"/>
    <n v="3.5"/>
    <d v="2024-10-05T00:00:00"/>
    <s v="883 Marcy Place"/>
    <x v="78"/>
    <s v="Pending"/>
    <n v="6"/>
    <n v="88"/>
    <s v="Sufficient"/>
    <s v="Available"/>
  </r>
  <r>
    <s v="18-107-7886"/>
    <x v="107"/>
    <s v="Dairy"/>
    <s v="Demivee"/>
    <x v="56"/>
    <n v="28"/>
    <n v="35"/>
    <n v="2"/>
    <d v="2024-11-07T00:00:00"/>
    <s v="55309 6th Junction"/>
    <x v="49"/>
    <s v="Pending"/>
    <n v="3"/>
    <n v="50"/>
    <s v="Sufficient"/>
    <s v="Available"/>
  </r>
  <r>
    <s v="35-328-8392"/>
    <x v="3"/>
    <s v="Grains &amp; Pulses"/>
    <s v="Ainyx"/>
    <x v="30"/>
    <n v="2"/>
    <n v="71"/>
    <n v="1.45"/>
    <d v="2024-03-18T00:00:00"/>
    <s v="09 Londonderry Hill"/>
    <x v="14"/>
    <s v="Fulfilled"/>
    <n v="1"/>
    <n v="70"/>
    <s v="Sufficient"/>
    <s v="Available"/>
  </r>
  <r>
    <s v="21-650-9319"/>
    <x v="42"/>
    <s v="Bakery"/>
    <s v="Jazzy"/>
    <x v="83"/>
    <n v="88"/>
    <n v="95"/>
    <n v="2.5"/>
    <d v="2025-01-28T00:00:00"/>
    <s v="4 Hagan Court"/>
    <x v="6"/>
    <s v="Pending"/>
    <n v="4"/>
    <n v="94"/>
    <s v="Reoeder required"/>
    <s v="Available"/>
  </r>
  <r>
    <s v="99-894-4351"/>
    <x v="10"/>
    <s v="Grains &amp; Pulses"/>
    <s v="Devpoint"/>
    <x v="50"/>
    <n v="54"/>
    <n v="54"/>
    <n v="2"/>
    <d v="2025-02-24T00:00:00"/>
    <s v="185 Saint Paul Road"/>
    <x v="63"/>
    <s v="Pending"/>
    <n v="6"/>
    <n v="63"/>
    <s v="Reoeder required"/>
    <s v="Available"/>
  </r>
  <r>
    <s v="63-168-6018"/>
    <x v="26"/>
    <s v="Fruits &amp; Vegetables"/>
    <s v="Bubblemix"/>
    <x v="34"/>
    <n v="63"/>
    <n v="81"/>
    <n v="1.8"/>
    <d v="2024-10-03T00:00:00"/>
    <s v="0847 Artisan Hill"/>
    <x v="49"/>
    <s v="Pending"/>
    <n v="5"/>
    <n v="31"/>
    <s v="Reoeder required"/>
    <s v="Available"/>
  </r>
  <r>
    <s v="26-000-1012"/>
    <x v="20"/>
    <s v="Dairy"/>
    <s v="Quatz"/>
    <x v="17"/>
    <n v="54"/>
    <n v="29"/>
    <n v="12"/>
    <d v="2024-11-29T00:00:00"/>
    <s v="3 Bayside Point"/>
    <x v="12"/>
    <s v="Pending"/>
    <n v="5"/>
    <n v="79"/>
    <s v="Sufficient"/>
    <s v="Available"/>
  </r>
  <r>
    <s v="13-900-9016"/>
    <x v="53"/>
    <s v="Fruits &amp; Vegetables"/>
    <s v="Meetz"/>
    <x v="52"/>
    <n v="96"/>
    <n v="94"/>
    <n v="4.5"/>
    <d v="2025-01-06T00:00:00"/>
    <s v="521 Burning Wood Trail"/>
    <x v="39"/>
    <s v="Fulfilled"/>
    <n v="4"/>
    <n v="96"/>
    <s v="Reoeder required"/>
    <s v="Available"/>
  </r>
  <r>
    <s v="88-408-0310"/>
    <x v="6"/>
    <s v="Oils &amp; Fats"/>
    <s v="Flipopia"/>
    <x v="74"/>
    <n v="40"/>
    <n v="69"/>
    <n v="2.5"/>
    <d v="2024-03-31T00:00:00"/>
    <s v="5 Mesta Center"/>
    <x v="64"/>
    <s v="Fulfilled"/>
    <n v="7"/>
    <n v="98"/>
    <s v="Sufficient"/>
    <s v="Available"/>
  </r>
  <r>
    <s v="73-997-6251"/>
    <x v="53"/>
    <s v="Fruits &amp; Vegetables"/>
    <s v="Livetube"/>
    <x v="14"/>
    <n v="18"/>
    <n v="84"/>
    <n v="4.5"/>
    <d v="2024-10-15T00:00:00"/>
    <s v="1666 Dayton Terrace"/>
    <x v="37"/>
    <s v="Fulfilled"/>
    <n v="4"/>
    <n v="49"/>
    <s v="Sufficient"/>
    <s v="Available"/>
  </r>
  <r>
    <s v="50-679-2072"/>
    <x v="79"/>
    <s v="Oils &amp; Fats"/>
    <s v="Thoughtmix"/>
    <x v="23"/>
    <n v="32"/>
    <n v="43"/>
    <n v="2.2999999999999998"/>
    <d v="2024-05-03T00:00:00"/>
    <s v="20 Butterfield Lane"/>
    <x v="19"/>
    <s v="Fulfilled"/>
    <n v="4"/>
    <n v="98"/>
    <s v="Sufficient"/>
    <s v="Available"/>
  </r>
  <r>
    <s v="89-673-1543"/>
    <x v="99"/>
    <s v="Bakery"/>
    <s v="Lajo"/>
    <x v="18"/>
    <n v="78"/>
    <n v="1"/>
    <n v="4"/>
    <d v="2024-03-28T00:00:00"/>
    <s v="297 Petterle Way"/>
    <x v="1"/>
    <s v="Pending"/>
    <n v="7"/>
    <n v="30"/>
    <s v="Reoeder required"/>
    <s v="Available"/>
  </r>
  <r>
    <s v="56-937-8675"/>
    <x v="58"/>
    <s v="Dairy"/>
    <s v="Trilith"/>
    <x v="10"/>
    <n v="91"/>
    <n v="14"/>
    <n v="2.5"/>
    <d v="2024-05-31T00:00:00"/>
    <s v="668 Claremont Place"/>
    <x v="69"/>
    <s v="Fulfilled"/>
    <n v="3"/>
    <n v="77"/>
    <s v="Reoeder required"/>
    <s v="Available"/>
  </r>
  <r>
    <s v="14-836-2894"/>
    <x v="110"/>
    <s v="Fruits &amp; Vegetables"/>
    <s v="Jabbersphere"/>
    <x v="7"/>
    <n v="92"/>
    <n v="92"/>
    <n v="3.5"/>
    <d v="2025-01-11T00:00:00"/>
    <s v="2 Hooker Terrace"/>
    <x v="69"/>
    <s v="Fulfilled"/>
    <n v="7"/>
    <n v="61"/>
    <s v="Reoeder required"/>
    <s v="Available"/>
  </r>
  <r>
    <s v="87-903-3486"/>
    <x v="59"/>
    <s v="Oils &amp; Fats"/>
    <s v="Twitterbeat"/>
    <x v="55"/>
    <n v="25"/>
    <n v="39"/>
    <n v="4"/>
    <d v="2024-09-10T00:00:00"/>
    <s v="99 Twin Pines Alley"/>
    <x v="33"/>
    <s v="Pending"/>
    <n v="2"/>
    <n v="30"/>
    <s v="Reoeder required"/>
    <s v="Available"/>
  </r>
  <r>
    <s v="07-617-6934"/>
    <x v="111"/>
    <s v="Grains &amp; Pulses"/>
    <s v="Feedfire"/>
    <x v="8"/>
    <n v="39"/>
    <n v="48"/>
    <n v="5"/>
    <d v="2024-12-21T00:00:00"/>
    <s v="9262 Sullivan Crossing"/>
    <x v="67"/>
    <s v="Fulfilled"/>
    <n v="3"/>
    <n v="18"/>
    <s v="Sufficient"/>
    <s v="Available"/>
  </r>
  <r>
    <s v="31-403-6234"/>
    <x v="82"/>
    <s v="Seafood"/>
    <s v="Thoughtbeat"/>
    <x v="89"/>
    <n v="24"/>
    <n v="66"/>
    <n v="18"/>
    <d v="2024-11-24T00:00:00"/>
    <s v="35 Waxwing Center"/>
    <x v="70"/>
    <s v="Fulfilled"/>
    <n v="5"/>
    <n v="34"/>
    <s v="Sufficient"/>
    <s v="Available"/>
  </r>
  <r>
    <s v="29-092-3453"/>
    <x v="16"/>
    <s v="Fruits &amp; Vegetables"/>
    <s v="Youbridge"/>
    <x v="33"/>
    <n v="17"/>
    <n v="69"/>
    <n v="2.52"/>
    <d v="2024-05-07T00:00:00"/>
    <s v="676 Redwing Trail"/>
    <x v="2"/>
    <s v="Fulfilled"/>
    <n v="5"/>
    <n v="29"/>
    <s v="Sufficient"/>
    <s v="Available"/>
  </r>
  <r>
    <s v="34-709-9237"/>
    <x v="45"/>
    <s v="Fruits &amp; Vegetables"/>
    <s v="Gigaclub"/>
    <x v="33"/>
    <n v="81"/>
    <n v="99"/>
    <n v="1.5"/>
    <d v="2024-03-13T00:00:00"/>
    <s v="1509 Hoard Circle"/>
    <x v="51"/>
    <s v="Fulfilled"/>
    <n v="5"/>
    <n v="76"/>
    <s v="Reoeder required"/>
    <s v="Available"/>
  </r>
  <r>
    <s v="13-962-6263"/>
    <x v="116"/>
    <s v="Fruits &amp; Vegetables"/>
    <s v="Trupe"/>
    <x v="16"/>
    <n v="1"/>
    <n v="28"/>
    <n v="2"/>
    <d v="2024-12-23T00:00:00"/>
    <s v="7015 Ramsey Lane"/>
    <x v="23"/>
    <s v="Pending"/>
    <n v="4"/>
    <n v="95"/>
    <s v="Sufficient"/>
    <s v="Available"/>
  </r>
  <r>
    <s v="06-731-2162"/>
    <x v="35"/>
    <s v="Fruits &amp; Vegetables"/>
    <s v="Meejo"/>
    <x v="89"/>
    <n v="1"/>
    <n v="98"/>
    <n v="2.5"/>
    <d v="2024-10-07T00:00:00"/>
    <s v="30968 Anzinger Court"/>
    <x v="26"/>
    <s v="Fulfilled"/>
    <n v="2"/>
    <n v="84"/>
    <s v="Sufficient"/>
    <s v="Available"/>
  </r>
  <r>
    <s v="10-768-2443"/>
    <x v="38"/>
    <s v="Bakery"/>
    <s v="Katz"/>
    <x v="81"/>
    <n v="55"/>
    <n v="95"/>
    <n v="3.25"/>
    <d v="2024-03-05T00:00:00"/>
    <s v="4 Orin Lane"/>
    <x v="8"/>
    <s v="Fulfilled"/>
    <n v="8"/>
    <n v="72"/>
    <s v="Sufficient"/>
    <s v="Available"/>
  </r>
  <r>
    <s v="36-372-2295"/>
    <x v="96"/>
    <s v="Grains &amp; Pulses"/>
    <s v="Skimia"/>
    <x v="5"/>
    <n v="13"/>
    <n v="71"/>
    <n v="4.45"/>
    <d v="2024-10-22T00:00:00"/>
    <s v="98 Bartillon Trail"/>
    <x v="36"/>
    <s v="Fulfilled"/>
    <n v="6"/>
    <n v="4"/>
    <s v="Sufficient"/>
    <s v="Available"/>
  </r>
  <r>
    <s v="34-538-1180"/>
    <x v="84"/>
    <s v="Dairy"/>
    <s v="Voonder"/>
    <x v="50"/>
    <n v="39"/>
    <n v="80"/>
    <n v="4"/>
    <d v="2024-11-03T00:00:00"/>
    <s v="19 Aberg Trail"/>
    <x v="61"/>
    <s v="Fulfilled"/>
    <n v="3"/>
    <n v="85"/>
    <s v="Reoeder required"/>
    <s v="Available"/>
  </r>
  <r>
    <s v="98-148-0940"/>
    <x v="120"/>
    <s v="Dairy"/>
    <s v="Babblestorm"/>
    <x v="21"/>
    <n v="62"/>
    <n v="18"/>
    <n v="0.2"/>
    <d v="2024-04-02T00:00:00"/>
    <s v="588 Waywood Trail"/>
    <x v="6"/>
    <s v="Pending"/>
    <n v="1"/>
    <n v="17"/>
    <s v="Sufficient"/>
    <s v="Available"/>
  </r>
  <r>
    <s v="38-390-2115"/>
    <x v="55"/>
    <s v="Fruits &amp; Vegetables"/>
    <s v="Rhyzio"/>
    <x v="83"/>
    <n v="69"/>
    <n v="54"/>
    <n v="1.2"/>
    <d v="2024-03-06T00:00:00"/>
    <s v="3 Del Mar Point"/>
    <x v="31"/>
    <s v="Pending"/>
    <n v="5"/>
    <n v="96"/>
    <s v="Reoeder required"/>
    <s v="Available"/>
  </r>
  <r>
    <s v="02-974-8526"/>
    <x v="31"/>
    <s v="Fruits &amp; Vegetables"/>
    <s v="Mudo"/>
    <x v="59"/>
    <n v="4"/>
    <n v="39"/>
    <n v="2"/>
    <d v="2024-04-05T00:00:00"/>
    <s v="42 Green Ridge Terrace"/>
    <x v="23"/>
    <s v="Pending"/>
    <n v="7"/>
    <n v="24"/>
    <s v="Sufficient"/>
    <s v="Available"/>
  </r>
  <r>
    <s v="29-377-7040"/>
    <x v="33"/>
    <s v="Grains &amp; Pulses"/>
    <s v="Brightdog"/>
    <x v="0"/>
    <n v="77"/>
    <n v="15"/>
    <n v="3"/>
    <d v="2024-05-29T00:00:00"/>
    <s v="9431 Clarendon Pass"/>
    <x v="58"/>
    <s v="Pending"/>
    <n v="1"/>
    <n v="46"/>
    <s v="Reoeder required"/>
    <s v="Available"/>
  </r>
  <r>
    <s v="84-327-7787"/>
    <x v="120"/>
    <s v="Dairy"/>
    <s v="Bubblemix"/>
    <x v="88"/>
    <n v="35"/>
    <n v="43"/>
    <n v="0.2"/>
    <d v="2024-08-26T00:00:00"/>
    <s v="739 Rowland Way"/>
    <x v="24"/>
    <s v="Pending"/>
    <n v="1"/>
    <n v="68"/>
    <s v="Sufficient"/>
    <s v="Available"/>
  </r>
  <r>
    <s v="82-231-4245"/>
    <x v="114"/>
    <s v="Grains &amp; Pulses"/>
    <s v="Kayveo"/>
    <x v="90"/>
    <n v="91"/>
    <n v="80"/>
    <n v="10"/>
    <d v="2024-08-28T00:00:00"/>
    <s v="77 Monument Court"/>
    <x v="12"/>
    <s v="Pending"/>
    <n v="5"/>
    <n v="80"/>
    <s v="Reoeder required"/>
    <s v="Available"/>
  </r>
  <r>
    <s v="70-005-5970"/>
    <x v="110"/>
    <s v="Fruits &amp; Vegetables"/>
    <s v="Skaboo"/>
    <x v="36"/>
    <n v="46"/>
    <n v="80"/>
    <n v="3.5"/>
    <d v="2024-10-02T00:00:00"/>
    <s v="82955 Dayton Street"/>
    <x v="15"/>
    <s v="Fulfilled"/>
    <n v="7"/>
    <n v="84"/>
    <s v="Sufficient"/>
    <s v="Available"/>
  </r>
  <r>
    <s v="63-936-0145"/>
    <x v="4"/>
    <s v="Fruits &amp; Vegetables"/>
    <s v="Thoughtbeat"/>
    <x v="0"/>
    <n v="56"/>
    <n v="72"/>
    <n v="4"/>
    <d v="2024-06-08T00:00:00"/>
    <s v="95 Kingsford Terrace"/>
    <x v="73"/>
    <s v="Pending"/>
    <n v="3"/>
    <n v="39"/>
    <s v="Reoeder required"/>
    <s v="Available"/>
  </r>
  <r>
    <s v="08-196-2703"/>
    <x v="57"/>
    <s v="Fruits &amp; Vegetables"/>
    <s v="Youbridge"/>
    <x v="46"/>
    <n v="52"/>
    <n v="2"/>
    <n v="3"/>
    <d v="2024-11-29T00:00:00"/>
    <s v="56 Esker Park"/>
    <x v="52"/>
    <s v="Fulfilled"/>
    <n v="8"/>
    <n v="70"/>
    <s v="Sufficient"/>
    <s v="Available"/>
  </r>
  <r>
    <s v="22-778-3553"/>
    <x v="88"/>
    <s v="Dairy"/>
    <s v="Quaxo"/>
    <x v="80"/>
    <n v="77"/>
    <n v="49"/>
    <n v="9"/>
    <d v="2024-10-24T00:00:00"/>
    <s v="0782 Dapin Avenue"/>
    <x v="43"/>
    <s v="Fulfilled"/>
    <n v="3"/>
    <n v="84"/>
    <s v="Reoeder required"/>
    <s v="Available"/>
  </r>
  <r>
    <s v="37-610-1999"/>
    <x v="105"/>
    <s v="Seafood"/>
    <s v="Wikizz"/>
    <x v="39"/>
    <n v="67"/>
    <n v="65"/>
    <n v="20"/>
    <d v="2024-10-19T00:00:00"/>
    <s v="3 John Wall Point"/>
    <x v="75"/>
    <s v="Pending"/>
    <n v="2"/>
    <n v="94"/>
    <s v="Reoeder required"/>
    <s v="Available"/>
  </r>
  <r>
    <s v="09-618-2842"/>
    <x v="10"/>
    <s v="Grains &amp; Pulses"/>
    <s v="Yambee"/>
    <x v="54"/>
    <n v="82"/>
    <n v="17"/>
    <n v="2"/>
    <d v="2024-03-21T00:00:00"/>
    <s v="642 Arizona Point"/>
    <x v="20"/>
    <s v="Pending"/>
    <n v="5"/>
    <n v="47"/>
    <s v="Reoeder required"/>
    <s v="Available"/>
  </r>
  <r>
    <s v="28-968-4195"/>
    <x v="51"/>
    <s v="Fruits &amp; Vegetables"/>
    <s v="Blogtag"/>
    <x v="23"/>
    <n v="52"/>
    <n v="80"/>
    <n v="3"/>
    <d v="2024-07-17T00:00:00"/>
    <s v="5 Loftsgordon Trail"/>
    <x v="70"/>
    <s v="Fulfilled"/>
    <n v="2"/>
    <n v="90"/>
    <s v="Sufficient"/>
    <s v="Available"/>
  </r>
  <r>
    <s v="55-680-0982"/>
    <x v="85"/>
    <s v="Beverages"/>
    <s v="Jetpulse"/>
    <x v="56"/>
    <n v="66"/>
    <n v="28"/>
    <n v="8"/>
    <d v="2025-01-14T00:00:00"/>
    <s v="0 Sutteridge Trail"/>
    <x v="28"/>
    <s v="Fulfilled"/>
    <n v="5"/>
    <n v="52"/>
    <s v="Reoeder required"/>
    <s v="Available"/>
  </r>
  <r>
    <s v="43-851-9440"/>
    <x v="98"/>
    <s v="Fruits &amp; Vegetables"/>
    <s v="Camido"/>
    <x v="39"/>
    <n v="75"/>
    <n v="19"/>
    <n v="1.9"/>
    <d v="2024-05-11T00:00:00"/>
    <s v="4033 Sloan Hill"/>
    <x v="10"/>
    <s v="Pending"/>
    <n v="4"/>
    <n v="84"/>
    <s v="Reoeder required"/>
    <s v="Available"/>
  </r>
  <r>
    <s v="14-331-3739"/>
    <x v="80"/>
    <s v="Oils &amp; Fats"/>
    <s v="Voolith"/>
    <x v="35"/>
    <n v="89"/>
    <n v="27"/>
    <n v="10"/>
    <d v="2024-10-15T00:00:00"/>
    <s v="8 Thackeray Drive"/>
    <x v="77"/>
    <s v="Pending"/>
    <n v="7"/>
    <n v="1"/>
    <s v="Reoeder required"/>
    <s v="Available"/>
  </r>
  <r>
    <s v="54-830-6971"/>
    <x v="70"/>
    <s v="Seafood"/>
    <s v="Dynava"/>
    <x v="46"/>
    <n v="61"/>
    <n v="21"/>
    <n v="7"/>
    <d v="2024-12-25T00:00:00"/>
    <s v="674 Ryan Alley"/>
    <x v="1"/>
    <s v="Fulfilled"/>
    <n v="6"/>
    <n v="79"/>
    <s v="Sufficient"/>
    <s v="Available"/>
  </r>
  <r>
    <s v="53-008-2419"/>
    <x v="65"/>
    <s v="Grains &amp; Pulses"/>
    <s v="Skyba"/>
    <x v="10"/>
    <n v="36"/>
    <n v="96"/>
    <n v="4.75"/>
    <d v="2024-04-10T00:00:00"/>
    <s v="63 Debra Park"/>
    <x v="2"/>
    <s v="Fulfilled"/>
    <n v="5"/>
    <n v="25"/>
    <s v="Sufficient"/>
    <s v="Available"/>
  </r>
  <r>
    <s v="39-358-3340"/>
    <x v="96"/>
    <s v="Grains &amp; Pulses"/>
    <s v="Yamia"/>
    <x v="86"/>
    <n v="60"/>
    <n v="62"/>
    <n v="4.5"/>
    <d v="2024-03-25T00:00:00"/>
    <s v="308 Doe Crossing Pass"/>
    <x v="30"/>
    <s v="Fulfilled"/>
    <n v="8"/>
    <n v="63"/>
    <s v="Sufficient"/>
    <s v="Available"/>
  </r>
  <r>
    <s v="28-146-2641"/>
    <x v="20"/>
    <s v="Dairy"/>
    <s v="BlogXS"/>
    <x v="54"/>
    <n v="67"/>
    <n v="66"/>
    <n v="12"/>
    <d v="2024-12-21T00:00:00"/>
    <s v="73 Graedel Street"/>
    <x v="41"/>
    <s v="Fulfilled"/>
    <n v="8"/>
    <n v="24"/>
    <s v="Reoeder required"/>
    <s v="Available"/>
  </r>
  <r>
    <s v="83-556-0996"/>
    <x v="86"/>
    <s v="Grains &amp; Pulses"/>
    <s v="Jabberstorm"/>
    <x v="20"/>
    <n v="34"/>
    <n v="94"/>
    <n v="2.4"/>
    <d v="2025-02-20T00:00:00"/>
    <s v="53 Forest Run Plaza"/>
    <x v="3"/>
    <s v="Pending"/>
    <n v="4"/>
    <n v="63"/>
    <s v="Sufficient"/>
    <s v="Available"/>
  </r>
  <r>
    <s v="53-805-9523"/>
    <x v="40"/>
    <s v="Bakery"/>
    <s v="Rhyloo"/>
    <x v="69"/>
    <n v="30"/>
    <n v="65"/>
    <n v="4.5"/>
    <d v="2024-03-19T00:00:00"/>
    <s v="94 Mallory Center"/>
    <x v="46"/>
    <s v="Pending"/>
    <n v="1"/>
    <n v="29"/>
    <s v="Sufficient"/>
    <s v="Available"/>
  </r>
  <r>
    <s v="82-977-7752"/>
    <x v="16"/>
    <s v="Fruits &amp; Vegetables"/>
    <s v="Shuffledrive"/>
    <x v="20"/>
    <n v="78"/>
    <n v="17"/>
    <n v="2.5"/>
    <d v="2024-12-28T00:00:00"/>
    <s v="58 Corscot Terrace"/>
    <x v="63"/>
    <s v="Fulfilled"/>
    <n v="1"/>
    <n v="21"/>
    <s v="Sufficient"/>
    <s v="Available"/>
  </r>
  <r>
    <s v="62-393-9939"/>
    <x v="88"/>
    <s v="Dairy"/>
    <s v="Gabcube"/>
    <x v="34"/>
    <n v="9"/>
    <n v="89"/>
    <n v="9"/>
    <d v="2024-06-02T00:00:00"/>
    <s v="5 Oxford Pass"/>
    <x v="3"/>
    <s v="Pending"/>
    <n v="8"/>
    <n v="63"/>
    <s v="Sufficient"/>
    <s v="Available"/>
  </r>
  <r>
    <s v="31-745-6850"/>
    <x v="19"/>
    <s v="Fruits &amp; Vegetables"/>
    <s v="Lajo"/>
    <x v="14"/>
    <n v="90"/>
    <n v="12"/>
    <n v="0.9"/>
    <d v="2024-10-24T00:00:00"/>
    <s v="081 Jana Lane"/>
    <x v="60"/>
    <s v="Pending"/>
    <n v="5"/>
    <n v="71"/>
    <s v="Sufficient"/>
    <s v="Available"/>
  </r>
  <r>
    <s v="86-692-2312"/>
    <x v="80"/>
    <s v="Oils &amp; Fats"/>
    <s v="Dazzlesphere"/>
    <x v="2"/>
    <n v="48"/>
    <n v="52"/>
    <n v="10"/>
    <d v="2024-12-07T00:00:00"/>
    <s v="00616 Manitowish Parkway"/>
    <x v="70"/>
    <s v="Fulfilled"/>
    <n v="5"/>
    <n v="78"/>
    <s v="Reoeder required"/>
    <s v="Available"/>
  </r>
  <r>
    <s v="28-044-4102"/>
    <x v="108"/>
    <s v="Fruits &amp; Vegetables"/>
    <s v="Yakijo"/>
    <x v="26"/>
    <n v="28"/>
    <n v="83"/>
    <n v="4.5"/>
    <d v="2024-03-01T00:00:00"/>
    <s v="309 Burning Wood Center"/>
    <x v="56"/>
    <s v="Pending"/>
    <n v="6"/>
    <n v="73"/>
    <s v="Reoeder required"/>
    <s v="Available"/>
  </r>
  <r>
    <m/>
    <x v="121"/>
    <m/>
    <m/>
    <x v="91"/>
    <m/>
    <m/>
    <m/>
    <m/>
    <m/>
    <x v="81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830753-6DF2-4488-8E49-D398BC6890B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26" firstHeaderRow="1" firstDataRow="1" firstDataCol="1"/>
  <pivotFields count="16">
    <pivotField showAll="0"/>
    <pivotField axis="axisRow" showAll="0">
      <items count="123">
        <item x="5"/>
        <item x="69"/>
        <item x="95"/>
        <item x="110"/>
        <item x="106"/>
        <item x="1"/>
        <item x="54"/>
        <item x="91"/>
        <item x="80"/>
        <item x="74"/>
        <item x="96"/>
        <item x="53"/>
        <item x="36"/>
        <item x="2"/>
        <item x="46"/>
        <item x="60"/>
        <item x="14"/>
        <item x="50"/>
        <item x="104"/>
        <item x="37"/>
        <item x="56"/>
        <item x="83"/>
        <item x="19"/>
        <item x="79"/>
        <item x="45"/>
        <item x="78"/>
        <item x="88"/>
        <item x="62"/>
        <item x="119"/>
        <item x="61"/>
        <item x="72"/>
        <item x="117"/>
        <item x="111"/>
        <item x="73"/>
        <item x="6"/>
        <item x="67"/>
        <item x="58"/>
        <item x="26"/>
        <item x="99"/>
        <item x="120"/>
        <item x="9"/>
        <item x="7"/>
        <item x="22"/>
        <item x="89"/>
        <item x="51"/>
        <item x="107"/>
        <item x="13"/>
        <item x="64"/>
        <item x="81"/>
        <item x="103"/>
        <item x="8"/>
        <item x="18"/>
        <item x="43"/>
        <item x="85"/>
        <item x="30"/>
        <item x="105"/>
        <item x="52"/>
        <item x="29"/>
        <item x="65"/>
        <item x="100"/>
        <item x="39"/>
        <item x="35"/>
        <item x="71"/>
        <item x="98"/>
        <item x="3"/>
        <item x="101"/>
        <item x="34"/>
        <item x="102"/>
        <item x="49"/>
        <item x="38"/>
        <item x="23"/>
        <item x="24"/>
        <item x="28"/>
        <item x="31"/>
        <item x="41"/>
        <item x="63"/>
        <item x="108"/>
        <item x="20"/>
        <item x="76"/>
        <item x="59"/>
        <item x="25"/>
        <item x="57"/>
        <item x="27"/>
        <item x="4"/>
        <item x="75"/>
        <item x="55"/>
        <item x="86"/>
        <item x="21"/>
        <item x="66"/>
        <item x="47"/>
        <item x="93"/>
        <item x="11"/>
        <item x="115"/>
        <item x="44"/>
        <item x="90"/>
        <item x="33"/>
        <item x="84"/>
        <item x="40"/>
        <item x="16"/>
        <item x="12"/>
        <item x="97"/>
        <item x="0"/>
        <item x="116"/>
        <item x="15"/>
        <item x="70"/>
        <item x="112"/>
        <item x="17"/>
        <item x="82"/>
        <item x="113"/>
        <item x="87"/>
        <item x="94"/>
        <item x="68"/>
        <item x="42"/>
        <item x="77"/>
        <item x="10"/>
        <item x="48"/>
        <item x="118"/>
        <item x="92"/>
        <item x="114"/>
        <item x="109"/>
        <item x="32"/>
        <item x="121"/>
        <item t="default"/>
      </items>
    </pivotField>
    <pivotField showAll="0"/>
    <pivotField showAll="0"/>
    <pivotField showAll="0">
      <items count="93">
        <item x="78"/>
        <item x="73"/>
        <item x="3"/>
        <item x="48"/>
        <item x="39"/>
        <item x="72"/>
        <item x="24"/>
        <item x="85"/>
        <item x="27"/>
        <item x="26"/>
        <item x="53"/>
        <item x="55"/>
        <item x="0"/>
        <item x="65"/>
        <item x="35"/>
        <item x="71"/>
        <item x="11"/>
        <item x="15"/>
        <item x="44"/>
        <item x="50"/>
        <item x="2"/>
        <item x="22"/>
        <item x="90"/>
        <item x="64"/>
        <item x="68"/>
        <item x="51"/>
        <item x="80"/>
        <item x="4"/>
        <item x="54"/>
        <item x="30"/>
        <item x="69"/>
        <item x="41"/>
        <item x="83"/>
        <item x="9"/>
        <item x="7"/>
        <item x="1"/>
        <item x="29"/>
        <item x="28"/>
        <item x="32"/>
        <item x="16"/>
        <item x="74"/>
        <item x="37"/>
        <item x="60"/>
        <item x="58"/>
        <item x="13"/>
        <item x="5"/>
        <item x="61"/>
        <item x="63"/>
        <item x="62"/>
        <item x="43"/>
        <item x="34"/>
        <item x="33"/>
        <item x="10"/>
        <item x="21"/>
        <item x="56"/>
        <item x="17"/>
        <item x="57"/>
        <item x="38"/>
        <item x="75"/>
        <item x="79"/>
        <item x="67"/>
        <item x="86"/>
        <item x="18"/>
        <item x="49"/>
        <item x="59"/>
        <item x="31"/>
        <item x="77"/>
        <item x="25"/>
        <item x="87"/>
        <item x="70"/>
        <item x="76"/>
        <item x="19"/>
        <item x="45"/>
        <item x="88"/>
        <item x="36"/>
        <item x="42"/>
        <item x="66"/>
        <item x="89"/>
        <item x="20"/>
        <item x="52"/>
        <item x="82"/>
        <item x="8"/>
        <item x="40"/>
        <item x="81"/>
        <item x="14"/>
        <item x="12"/>
        <item x="6"/>
        <item x="23"/>
        <item x="84"/>
        <item x="47"/>
        <item x="46"/>
        <item x="91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1"/>
  </rowFields>
  <rowItems count="1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 t="grand">
      <x/>
    </i>
  </rowItems>
  <colItems count="1">
    <i/>
  </colItems>
  <dataFields count="1">
    <dataField name="Sum of Sales_Volume" fld="10" baseField="0" baseItem="0"/>
  </dataFields>
  <formats count="4">
    <format dxfId="3">
      <pivotArea collapsedLevelsAreSubtotals="1" fieldPosition="0">
        <references count="1">
          <reference field="1" count="1">
            <x v="16"/>
          </reference>
        </references>
      </pivotArea>
    </format>
    <format dxfId="2">
      <pivotArea dataOnly="0" labelOnly="1" fieldPosition="0">
        <references count="1">
          <reference field="1" count="1">
            <x v="16"/>
          </reference>
        </references>
      </pivotArea>
    </format>
    <format dxfId="1">
      <pivotArea collapsedLevelsAreSubtotals="1" fieldPosition="0">
        <references count="1">
          <reference field="1" count="1">
            <x v="62"/>
          </reference>
        </references>
      </pivotArea>
    </format>
    <format dxfId="0">
      <pivotArea dataOnly="0" labelOnly="1" fieldPosition="0">
        <references count="1">
          <reference field="1" count="1">
            <x v="6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CC1E649-B5EB-4989-88D7-0F0BD297D29A}" name="Table1" displayName="Table1" ref="A1:P991" totalsRowShown="0">
  <autoFilter ref="A1:P991" xr:uid="{DCC1E649-B5EB-4989-88D7-0F0BD297D29A}"/>
  <tableColumns count="16">
    <tableColumn id="1" xr3:uid="{21DF0814-8358-4AA6-837F-79F981653652}" name="Product_ID"/>
    <tableColumn id="2" xr3:uid="{A4B2DD31-9F0C-43A7-A3F1-D26139752D80}" name="Product_Name"/>
    <tableColumn id="3" xr3:uid="{DFB6E7EB-0940-4BCC-98BF-78E97EEB0672}" name="Catagory"/>
    <tableColumn id="4" xr3:uid="{F2A9438E-76D1-4C14-A74B-F966CBA4A754}" name="Supplier_Name"/>
    <tableColumn id="5" xr3:uid="{EECDA5CF-335B-4E0F-A975-1F59E6EFE744}" name="Stock_Quantity"/>
    <tableColumn id="6" xr3:uid="{07CCA1C6-5A87-46EB-86BA-EDD6E8682CD3}" name="Reorder_Level"/>
    <tableColumn id="7" xr3:uid="{8461CCEC-1AED-4D09-800F-E25F0AD81B21}" name="Reorder_Quantity"/>
    <tableColumn id="8" xr3:uid="{62319B36-6E0E-496A-8451-DA081203EB7B}" name="Unit_Price" dataDxfId="9"/>
    <tableColumn id="9" xr3:uid="{24898227-3F31-4DCE-9FA1-EC81A2E71918}" name="Order_Date" dataDxfId="8"/>
    <tableColumn id="10" xr3:uid="{8403E4A0-3AE4-4558-916E-548A67279D3A}" name="Warehouse_Location"/>
    <tableColumn id="11" xr3:uid="{79A6320E-DF13-433C-9929-3AE6C9ACC29D}" name="Sales_Volume"/>
    <tableColumn id="16" xr3:uid="{98BDA93A-6285-4999-8D8D-6317F07C820C}" name="Fulfilled/Pending" dataDxfId="7">
      <calculatedColumnFormula>IF(Table1[[#This Row],[Sales_Volume]]&gt;Table1[[#This Row],[Stock_Quantity]],"Pending","Fulfilled")</calculatedColumnFormula>
    </tableColumn>
    <tableColumn id="17" xr3:uid="{DBAFBBD8-231D-467E-AA93-B7C80826E63C}" name="Delivery Days" dataDxfId="6"/>
    <tableColumn id="12" xr3:uid="{5DC0A623-D68D-41B0-B7B2-C34D51157967}" name="Inventory_Turnover_Rate"/>
    <tableColumn id="13" xr3:uid="{18B90E16-20EF-4EE9-9363-602CE31FA281}" name="Status" dataDxfId="5">
      <calculatedColumnFormula>IF(Table1[[#This Row],[Stock_Quantity]]&lt;=Table1[[#This Row],[Reorder_Level]],"Reoeder required","Sufficient")</calculatedColumnFormula>
    </tableColumn>
    <tableColumn id="14" xr3:uid="{AF870E20-87F7-4392-A4C4-EAB6D9CEBB05}" name="Out of stock flag" dataDxfId="4">
      <calculatedColumnFormula>IF(Table1[[#This Row],[Stock_Quantity]]=0,"Out of stock","Available")</calculatedColumnFormula>
    </tableColumn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573A1-69C0-4BC2-B129-088992EB251C}">
  <dimension ref="A1:P991"/>
  <sheetViews>
    <sheetView tabSelected="1" workbookViewId="0">
      <selection activeCell="A2" sqref="A2:P183"/>
    </sheetView>
  </sheetViews>
  <sheetFormatPr defaultRowHeight="14.4" x14ac:dyDescent="0.3"/>
  <cols>
    <col min="1" max="1" width="12.33203125" customWidth="1"/>
    <col min="2" max="2" width="17.6640625" bestFit="1" customWidth="1"/>
    <col min="3" max="3" width="16.6640625" bestFit="1" customWidth="1"/>
    <col min="4" max="4" width="15.77734375" customWidth="1"/>
    <col min="5" max="5" width="15.88671875" customWidth="1"/>
    <col min="6" max="6" width="14.88671875" customWidth="1"/>
    <col min="7" max="7" width="17.88671875" customWidth="1"/>
    <col min="8" max="8" width="11.5546875" customWidth="1"/>
    <col min="9" max="9" width="15" bestFit="1" customWidth="1"/>
    <col min="10" max="10" width="27.6640625" bestFit="1" customWidth="1"/>
    <col min="11" max="11" width="14.6640625" customWidth="1"/>
    <col min="12" max="12" width="17.6640625" bestFit="1" customWidth="1"/>
    <col min="13" max="13" width="17.6640625" customWidth="1"/>
    <col min="14" max="14" width="24.5546875" customWidth="1"/>
    <col min="15" max="15" width="15.21875" bestFit="1" customWidth="1"/>
    <col min="16" max="16" width="17.10937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2469</v>
      </c>
      <c r="J1" t="s">
        <v>8</v>
      </c>
      <c r="K1" t="s">
        <v>9</v>
      </c>
      <c r="L1" t="s">
        <v>2478</v>
      </c>
      <c r="M1" t="s">
        <v>2479</v>
      </c>
      <c r="N1" t="s">
        <v>10</v>
      </c>
      <c r="O1" t="s">
        <v>2470</v>
      </c>
      <c r="P1" t="s">
        <v>2471</v>
      </c>
    </row>
    <row r="2" spans="1:16" x14ac:dyDescent="0.3">
      <c r="A2" t="s">
        <v>11</v>
      </c>
      <c r="B2" t="s">
        <v>12</v>
      </c>
      <c r="C2" t="s">
        <v>13</v>
      </c>
      <c r="D2" t="s">
        <v>14</v>
      </c>
      <c r="E2">
        <v>22</v>
      </c>
      <c r="F2">
        <v>72</v>
      </c>
      <c r="G2">
        <v>70</v>
      </c>
      <c r="H2" s="1">
        <v>4.5</v>
      </c>
      <c r="I2" s="2">
        <v>45472</v>
      </c>
      <c r="J2" t="s">
        <v>15</v>
      </c>
      <c r="K2">
        <v>32</v>
      </c>
      <c r="L2" t="str">
        <f>IF(Table1[[#This Row],[Sales_Volume]]&gt;Table1[[#This Row],[Stock_Quantity]],"Pending","Fulfilled")</f>
        <v>Pending</v>
      </c>
      <c r="M2">
        <v>5</v>
      </c>
      <c r="N2">
        <v>19</v>
      </c>
      <c r="O2" t="str">
        <f>IF(Table1[[#This Row],[Stock_Quantity]]&lt;=Table1[[#This Row],[Reorder_Level]],"Reoeder required","Sufficient")</f>
        <v>Reoeder required</v>
      </c>
      <c r="P2" t="str">
        <f>IF(Table1[[#This Row],[Stock_Quantity]]=0,"Out of stock","Available")</f>
        <v>Available</v>
      </c>
    </row>
    <row r="3" spans="1:16" x14ac:dyDescent="0.3">
      <c r="A3" t="s">
        <v>16</v>
      </c>
      <c r="B3" t="s">
        <v>17</v>
      </c>
      <c r="C3" t="s">
        <v>18</v>
      </c>
      <c r="D3" t="s">
        <v>19</v>
      </c>
      <c r="E3">
        <v>45</v>
      </c>
      <c r="F3">
        <v>77</v>
      </c>
      <c r="G3">
        <v>2</v>
      </c>
      <c r="H3" s="1">
        <v>20</v>
      </c>
      <c r="I3" s="2">
        <v>45441</v>
      </c>
      <c r="J3" t="s">
        <v>20</v>
      </c>
      <c r="K3">
        <v>85</v>
      </c>
      <c r="L3" t="str">
        <f>IF(Table1[[#This Row],[Sales_Volume]]&gt;Table1[[#This Row],[Stock_Quantity]],"Pending","Fulfilled")</f>
        <v>Pending</v>
      </c>
      <c r="M3">
        <v>6</v>
      </c>
      <c r="N3">
        <v>1</v>
      </c>
      <c r="O3" t="str">
        <f>IF(Table1[[#This Row],[Stock_Quantity]]&lt;=Table1[[#This Row],[Reorder_Level]],"Reoeder required","Sufficient")</f>
        <v>Reoeder required</v>
      </c>
      <c r="P3" t="str">
        <f>IF(Table1[[#This Row],[Stock_Quantity]]=0,"Out of stock","Available")</f>
        <v>Available</v>
      </c>
    </row>
    <row r="4" spans="1:16" x14ac:dyDescent="0.3">
      <c r="A4" t="s">
        <v>21</v>
      </c>
      <c r="B4" t="s">
        <v>22</v>
      </c>
      <c r="C4" t="s">
        <v>13</v>
      </c>
      <c r="D4" t="s">
        <v>23</v>
      </c>
      <c r="E4">
        <v>30</v>
      </c>
      <c r="F4">
        <v>38</v>
      </c>
      <c r="G4">
        <v>83</v>
      </c>
      <c r="H4" s="1">
        <v>6</v>
      </c>
      <c r="I4" s="2">
        <v>45453</v>
      </c>
      <c r="J4" t="s">
        <v>24</v>
      </c>
      <c r="K4">
        <v>31</v>
      </c>
      <c r="L4" t="str">
        <f>IF(Table1[[#This Row],[Sales_Volume]]&gt;Table1[[#This Row],[Stock_Quantity]],"Pending","Fulfilled")</f>
        <v>Pending</v>
      </c>
      <c r="M4">
        <v>8</v>
      </c>
      <c r="N4">
        <v>34</v>
      </c>
      <c r="O4" t="str">
        <f>IF(Table1[[#This Row],[Stock_Quantity]]&lt;=Table1[[#This Row],[Reorder_Level]],"Reoeder required","Sufficient")</f>
        <v>Reoeder required</v>
      </c>
      <c r="P4" t="str">
        <f>IF(Table1[[#This Row],[Stock_Quantity]]=0,"Out of stock","Available")</f>
        <v>Available</v>
      </c>
    </row>
    <row r="5" spans="1:16" x14ac:dyDescent="0.3">
      <c r="A5" t="s">
        <v>25</v>
      </c>
      <c r="B5" t="s">
        <v>26</v>
      </c>
      <c r="C5" t="s">
        <v>13</v>
      </c>
      <c r="D5" t="s">
        <v>27</v>
      </c>
      <c r="E5">
        <v>12</v>
      </c>
      <c r="F5">
        <v>59</v>
      </c>
      <c r="G5">
        <v>62</v>
      </c>
      <c r="H5" s="1">
        <v>1.5</v>
      </c>
      <c r="I5" s="2">
        <v>45707</v>
      </c>
      <c r="J5" t="s">
        <v>28</v>
      </c>
      <c r="K5">
        <v>95</v>
      </c>
      <c r="L5" t="str">
        <f>IF(Table1[[#This Row],[Sales_Volume]]&gt;Table1[[#This Row],[Stock_Quantity]],"Pending","Fulfilled")</f>
        <v>Pending</v>
      </c>
      <c r="M5">
        <v>6</v>
      </c>
      <c r="N5">
        <v>99</v>
      </c>
      <c r="O5" t="str">
        <f>IF(Table1[[#This Row],[Stock_Quantity]]&lt;=Table1[[#This Row],[Reorder_Level]],"Reoeder required","Sufficient")</f>
        <v>Reoeder required</v>
      </c>
      <c r="P5" t="str">
        <f>IF(Table1[[#This Row],[Stock_Quantity]]=0,"Out of stock","Available")</f>
        <v>Available</v>
      </c>
    </row>
    <row r="6" spans="1:16" x14ac:dyDescent="0.3">
      <c r="A6" t="s">
        <v>29</v>
      </c>
      <c r="B6" t="s">
        <v>30</v>
      </c>
      <c r="C6" t="s">
        <v>31</v>
      </c>
      <c r="D6" t="s">
        <v>32</v>
      </c>
      <c r="E6">
        <v>37</v>
      </c>
      <c r="F6">
        <v>30</v>
      </c>
      <c r="G6">
        <v>74</v>
      </c>
      <c r="H6" s="1">
        <v>4</v>
      </c>
      <c r="I6" s="2">
        <v>45576</v>
      </c>
      <c r="J6" t="s">
        <v>33</v>
      </c>
      <c r="K6">
        <v>62</v>
      </c>
      <c r="L6" t="str">
        <f>IF(Table1[[#This Row],[Sales_Volume]]&gt;Table1[[#This Row],[Stock_Quantity]],"Pending","Fulfilled")</f>
        <v>Pending</v>
      </c>
      <c r="M6">
        <v>6</v>
      </c>
      <c r="N6">
        <v>25</v>
      </c>
      <c r="O6" t="str">
        <f>IF(Table1[[#This Row],[Stock_Quantity]]&lt;=Table1[[#This Row],[Reorder_Level]],"Reoeder required","Sufficient")</f>
        <v>Sufficient</v>
      </c>
      <c r="P6" t="str">
        <f>IF(Table1[[#This Row],[Stock_Quantity]]=0,"Out of stock","Available")</f>
        <v>Available</v>
      </c>
    </row>
    <row r="7" spans="1:16" x14ac:dyDescent="0.3">
      <c r="A7" t="s">
        <v>34</v>
      </c>
      <c r="B7" t="s">
        <v>35</v>
      </c>
      <c r="C7" t="s">
        <v>13</v>
      </c>
      <c r="D7" t="s">
        <v>36</v>
      </c>
      <c r="E7">
        <v>55</v>
      </c>
      <c r="F7">
        <v>33</v>
      </c>
      <c r="G7">
        <v>14</v>
      </c>
      <c r="H7" s="1">
        <v>1.75</v>
      </c>
      <c r="I7" s="2">
        <v>45438</v>
      </c>
      <c r="J7" t="s">
        <v>37</v>
      </c>
      <c r="K7">
        <v>34</v>
      </c>
      <c r="L7" t="str">
        <f>IF(Table1[[#This Row],[Sales_Volume]]&gt;Table1[[#This Row],[Stock_Quantity]],"Pending","Fulfilled")</f>
        <v>Fulfilled</v>
      </c>
      <c r="M7">
        <v>6</v>
      </c>
      <c r="N7">
        <v>62</v>
      </c>
      <c r="O7" t="str">
        <f>IF(Table1[[#This Row],[Stock_Quantity]]&lt;=Table1[[#This Row],[Reorder_Level]],"Reoeder required","Sufficient")</f>
        <v>Sufficient</v>
      </c>
      <c r="P7" t="str">
        <f>IF(Table1[[#This Row],[Stock_Quantity]]=0,"Out of stock","Available")</f>
        <v>Available</v>
      </c>
    </row>
    <row r="8" spans="1:16" x14ac:dyDescent="0.3">
      <c r="A8" t="s">
        <v>38</v>
      </c>
      <c r="B8" t="s">
        <v>39</v>
      </c>
      <c r="C8" t="s">
        <v>40</v>
      </c>
      <c r="D8" t="s">
        <v>41</v>
      </c>
      <c r="E8">
        <v>96</v>
      </c>
      <c r="F8">
        <v>52</v>
      </c>
      <c r="G8">
        <v>16</v>
      </c>
      <c r="H8" s="1">
        <v>2.5</v>
      </c>
      <c r="I8" s="2">
        <v>45419</v>
      </c>
      <c r="J8" t="s">
        <v>42</v>
      </c>
      <c r="K8">
        <v>67</v>
      </c>
      <c r="L8" t="str">
        <f>IF(Table1[[#This Row],[Sales_Volume]]&gt;Table1[[#This Row],[Stock_Quantity]],"Pending","Fulfilled")</f>
        <v>Fulfilled</v>
      </c>
      <c r="M8">
        <v>8</v>
      </c>
      <c r="N8">
        <v>13</v>
      </c>
      <c r="O8" t="str">
        <f>IF(Table1[[#This Row],[Stock_Quantity]]&lt;=Table1[[#This Row],[Reorder_Level]],"Reoeder required","Sufficient")</f>
        <v>Sufficient</v>
      </c>
      <c r="P8" t="str">
        <f>IF(Table1[[#This Row],[Stock_Quantity]]=0,"Out of stock","Available")</f>
        <v>Available</v>
      </c>
    </row>
    <row r="9" spans="1:16" x14ac:dyDescent="0.3">
      <c r="A9" t="s">
        <v>43</v>
      </c>
      <c r="B9" t="s">
        <v>44</v>
      </c>
      <c r="C9" t="s">
        <v>45</v>
      </c>
      <c r="D9" t="s">
        <v>46</v>
      </c>
      <c r="E9">
        <v>44</v>
      </c>
      <c r="F9">
        <v>90</v>
      </c>
      <c r="G9">
        <v>17</v>
      </c>
      <c r="H9" s="1">
        <v>2.5</v>
      </c>
      <c r="I9" s="2">
        <v>45391</v>
      </c>
      <c r="J9" t="s">
        <v>47</v>
      </c>
      <c r="K9">
        <v>21</v>
      </c>
      <c r="L9" t="str">
        <f>IF(Table1[[#This Row],[Sales_Volume]]&gt;Table1[[#This Row],[Stock_Quantity]],"Pending","Fulfilled")</f>
        <v>Fulfilled</v>
      </c>
      <c r="M9">
        <v>6</v>
      </c>
      <c r="N9">
        <v>91</v>
      </c>
      <c r="O9" t="str">
        <f>IF(Table1[[#This Row],[Stock_Quantity]]&lt;=Table1[[#This Row],[Reorder_Level]],"Reoeder required","Sufficient")</f>
        <v>Reoeder required</v>
      </c>
      <c r="P9" t="str">
        <f>IF(Table1[[#This Row],[Stock_Quantity]]=0,"Out of stock","Available")</f>
        <v>Available</v>
      </c>
    </row>
    <row r="10" spans="1:16" x14ac:dyDescent="0.3">
      <c r="A10" t="s">
        <v>48</v>
      </c>
      <c r="B10" t="s">
        <v>49</v>
      </c>
      <c r="C10" t="s">
        <v>45</v>
      </c>
      <c r="D10" t="s">
        <v>50</v>
      </c>
      <c r="E10">
        <v>91</v>
      </c>
      <c r="F10">
        <v>84</v>
      </c>
      <c r="G10">
        <v>11</v>
      </c>
      <c r="H10" s="1">
        <v>3</v>
      </c>
      <c r="I10" s="2">
        <v>45445</v>
      </c>
      <c r="J10" t="s">
        <v>51</v>
      </c>
      <c r="K10">
        <v>56</v>
      </c>
      <c r="L10" t="str">
        <f>IF(Table1[[#This Row],[Sales_Volume]]&gt;Table1[[#This Row],[Stock_Quantity]],"Pending","Fulfilled")</f>
        <v>Fulfilled</v>
      </c>
      <c r="M10">
        <v>5</v>
      </c>
      <c r="N10">
        <v>90</v>
      </c>
      <c r="O10" t="str">
        <f>IF(Table1[[#This Row],[Stock_Quantity]]&lt;=Table1[[#This Row],[Reorder_Level]],"Reoeder required","Sufficient")</f>
        <v>Sufficient</v>
      </c>
      <c r="P10" t="str">
        <f>IF(Table1[[#This Row],[Stock_Quantity]]=0,"Out of stock","Available")</f>
        <v>Available</v>
      </c>
    </row>
    <row r="11" spans="1:16" x14ac:dyDescent="0.3">
      <c r="A11" t="s">
        <v>52</v>
      </c>
      <c r="B11" t="s">
        <v>53</v>
      </c>
      <c r="C11" t="s">
        <v>45</v>
      </c>
      <c r="D11" t="s">
        <v>54</v>
      </c>
      <c r="E11">
        <v>43</v>
      </c>
      <c r="F11">
        <v>10</v>
      </c>
      <c r="G11">
        <v>15</v>
      </c>
      <c r="H11" s="1">
        <v>1</v>
      </c>
      <c r="I11" s="2">
        <v>45610</v>
      </c>
      <c r="J11" t="s">
        <v>55</v>
      </c>
      <c r="K11">
        <v>27</v>
      </c>
      <c r="L11" t="str">
        <f>IF(Table1[[#This Row],[Sales_Volume]]&gt;Table1[[#This Row],[Stock_Quantity]],"Pending","Fulfilled")</f>
        <v>Fulfilled</v>
      </c>
      <c r="M11">
        <v>5</v>
      </c>
      <c r="N11">
        <v>69</v>
      </c>
      <c r="O11" t="str">
        <f>IF(Table1[[#This Row],[Stock_Quantity]]&lt;=Table1[[#This Row],[Reorder_Level]],"Reoeder required","Sufficient")</f>
        <v>Sufficient</v>
      </c>
      <c r="P11" t="str">
        <f>IF(Table1[[#This Row],[Stock_Quantity]]=0,"Out of stock","Available")</f>
        <v>Available</v>
      </c>
    </row>
    <row r="12" spans="1:16" x14ac:dyDescent="0.3">
      <c r="A12" t="s">
        <v>56</v>
      </c>
      <c r="B12" t="s">
        <v>26</v>
      </c>
      <c r="C12" t="s">
        <v>13</v>
      </c>
      <c r="D12" t="s">
        <v>57</v>
      </c>
      <c r="E12">
        <v>62</v>
      </c>
      <c r="F12">
        <v>81</v>
      </c>
      <c r="G12">
        <v>91</v>
      </c>
      <c r="H12" s="1">
        <v>1.6</v>
      </c>
      <c r="I12" s="2">
        <v>45436</v>
      </c>
      <c r="J12" t="s">
        <v>58</v>
      </c>
      <c r="K12">
        <v>100</v>
      </c>
      <c r="L12" t="str">
        <f>IF(Table1[[#This Row],[Sales_Volume]]&gt;Table1[[#This Row],[Stock_Quantity]],"Pending","Fulfilled")</f>
        <v>Pending</v>
      </c>
      <c r="M12">
        <v>5</v>
      </c>
      <c r="N12">
        <v>42</v>
      </c>
      <c r="O12" t="str">
        <f>IF(Table1[[#This Row],[Stock_Quantity]]&lt;=Table1[[#This Row],[Reorder_Level]],"Reoeder required","Sufficient")</f>
        <v>Reoeder required</v>
      </c>
      <c r="P12" t="str">
        <f>IF(Table1[[#This Row],[Stock_Quantity]]=0,"Out of stock","Available")</f>
        <v>Available</v>
      </c>
    </row>
    <row r="13" spans="1:16" x14ac:dyDescent="0.3">
      <c r="A13" t="s">
        <v>59</v>
      </c>
      <c r="B13" t="s">
        <v>60</v>
      </c>
      <c r="C13" t="s">
        <v>13</v>
      </c>
      <c r="D13" t="s">
        <v>61</v>
      </c>
      <c r="E13">
        <v>91</v>
      </c>
      <c r="F13">
        <v>98</v>
      </c>
      <c r="G13">
        <v>6</v>
      </c>
      <c r="H13" s="1">
        <v>2</v>
      </c>
      <c r="I13" s="2">
        <v>45637</v>
      </c>
      <c r="J13" t="s">
        <v>62</v>
      </c>
      <c r="K13">
        <v>100</v>
      </c>
      <c r="L13" t="str">
        <f>IF(Table1[[#This Row],[Sales_Volume]]&gt;Table1[[#This Row],[Stock_Quantity]],"Pending","Fulfilled")</f>
        <v>Pending</v>
      </c>
      <c r="M13">
        <v>1</v>
      </c>
      <c r="N13">
        <v>20</v>
      </c>
      <c r="O13" t="str">
        <f>IF(Table1[[#This Row],[Stock_Quantity]]&lt;=Table1[[#This Row],[Reorder_Level]],"Reoeder required","Sufficient")</f>
        <v>Reoeder required</v>
      </c>
      <c r="P13" t="str">
        <f>IF(Table1[[#This Row],[Stock_Quantity]]=0,"Out of stock","Available")</f>
        <v>Available</v>
      </c>
    </row>
    <row r="14" spans="1:16" x14ac:dyDescent="0.3">
      <c r="A14" t="s">
        <v>63</v>
      </c>
      <c r="B14" t="s">
        <v>64</v>
      </c>
      <c r="C14" t="s">
        <v>65</v>
      </c>
      <c r="D14" t="s">
        <v>66</v>
      </c>
      <c r="E14">
        <v>26</v>
      </c>
      <c r="F14">
        <v>79</v>
      </c>
      <c r="G14">
        <v>31</v>
      </c>
      <c r="H14" s="1">
        <v>3</v>
      </c>
      <c r="I14" s="2">
        <v>45697</v>
      </c>
      <c r="J14" t="s">
        <v>67</v>
      </c>
      <c r="K14">
        <v>47</v>
      </c>
      <c r="L14" t="str">
        <f>IF(Table1[[#This Row],[Sales_Volume]]&gt;Table1[[#This Row],[Stock_Quantity]],"Pending","Fulfilled")</f>
        <v>Pending</v>
      </c>
      <c r="M14">
        <v>4</v>
      </c>
      <c r="N14">
        <v>41</v>
      </c>
      <c r="O14" t="str">
        <f>IF(Table1[[#This Row],[Stock_Quantity]]&lt;=Table1[[#This Row],[Reorder_Level]],"Reoeder required","Sufficient")</f>
        <v>Reoeder required</v>
      </c>
      <c r="P14" t="str">
        <f>IF(Table1[[#This Row],[Stock_Quantity]]=0,"Out of stock","Available")</f>
        <v>Available</v>
      </c>
    </row>
    <row r="15" spans="1:16" x14ac:dyDescent="0.3">
      <c r="A15" t="s">
        <v>68</v>
      </c>
      <c r="B15" t="s">
        <v>30</v>
      </c>
      <c r="C15" t="s">
        <v>31</v>
      </c>
      <c r="D15" t="s">
        <v>69</v>
      </c>
      <c r="E15">
        <v>95</v>
      </c>
      <c r="F15">
        <v>50</v>
      </c>
      <c r="G15">
        <v>76</v>
      </c>
      <c r="H15" s="1">
        <v>4</v>
      </c>
      <c r="I15" s="2">
        <v>45556</v>
      </c>
      <c r="J15" t="s">
        <v>70</v>
      </c>
      <c r="K15">
        <v>69</v>
      </c>
      <c r="L15" t="str">
        <f>IF(Table1[[#This Row],[Sales_Volume]]&gt;Table1[[#This Row],[Stock_Quantity]],"Pending","Fulfilled")</f>
        <v>Fulfilled</v>
      </c>
      <c r="M15">
        <v>5</v>
      </c>
      <c r="N15">
        <v>5</v>
      </c>
      <c r="O15" t="str">
        <f>IF(Table1[[#This Row],[Stock_Quantity]]&lt;=Table1[[#This Row],[Reorder_Level]],"Reoeder required","Sufficient")</f>
        <v>Sufficient</v>
      </c>
      <c r="P15" t="str">
        <f>IF(Table1[[#This Row],[Stock_Quantity]]=0,"Out of stock","Available")</f>
        <v>Available</v>
      </c>
    </row>
    <row r="16" spans="1:16" x14ac:dyDescent="0.3">
      <c r="A16" t="s">
        <v>71</v>
      </c>
      <c r="B16" t="s">
        <v>72</v>
      </c>
      <c r="C16" t="s">
        <v>31</v>
      </c>
      <c r="D16" t="s">
        <v>73</v>
      </c>
      <c r="E16">
        <v>54</v>
      </c>
      <c r="F16">
        <v>26</v>
      </c>
      <c r="G16">
        <v>16</v>
      </c>
      <c r="H16" s="1">
        <v>6</v>
      </c>
      <c r="I16" s="2">
        <v>45473</v>
      </c>
      <c r="J16" t="s">
        <v>74</v>
      </c>
      <c r="K16">
        <v>63</v>
      </c>
      <c r="L16" t="str">
        <f>IF(Table1[[#This Row],[Sales_Volume]]&gt;Table1[[#This Row],[Stock_Quantity]],"Pending","Fulfilled")</f>
        <v>Pending</v>
      </c>
      <c r="M16">
        <v>1</v>
      </c>
      <c r="N16">
        <v>97</v>
      </c>
      <c r="O16" t="str">
        <f>IF(Table1[[#This Row],[Stock_Quantity]]&lt;=Table1[[#This Row],[Reorder_Level]],"Reoeder required","Sufficient")</f>
        <v>Sufficient</v>
      </c>
      <c r="P16" t="str">
        <f>IF(Table1[[#This Row],[Stock_Quantity]]=0,"Out of stock","Available")</f>
        <v>Available</v>
      </c>
    </row>
    <row r="17" spans="1:16" x14ac:dyDescent="0.3">
      <c r="A17" t="s">
        <v>75</v>
      </c>
      <c r="B17" t="s">
        <v>76</v>
      </c>
      <c r="C17" t="s">
        <v>45</v>
      </c>
      <c r="D17" t="s">
        <v>77</v>
      </c>
      <c r="E17">
        <v>94</v>
      </c>
      <c r="F17">
        <v>13</v>
      </c>
      <c r="G17">
        <v>15</v>
      </c>
      <c r="H17" s="1">
        <v>7</v>
      </c>
      <c r="I17" s="2">
        <v>45384</v>
      </c>
      <c r="J17" t="s">
        <v>78</v>
      </c>
      <c r="K17">
        <v>20</v>
      </c>
      <c r="L17" t="str">
        <f>IF(Table1[[#This Row],[Sales_Volume]]&gt;Table1[[#This Row],[Stock_Quantity]],"Pending","Fulfilled")</f>
        <v>Fulfilled</v>
      </c>
      <c r="M17">
        <v>5</v>
      </c>
      <c r="N17">
        <v>24</v>
      </c>
      <c r="O17" t="str">
        <f>IF(Table1[[#This Row],[Stock_Quantity]]&lt;=Table1[[#This Row],[Reorder_Level]],"Reoeder required","Sufficient")</f>
        <v>Sufficient</v>
      </c>
      <c r="P17" t="str">
        <f>IF(Table1[[#This Row],[Stock_Quantity]]=0,"Out of stock","Available")</f>
        <v>Available</v>
      </c>
    </row>
    <row r="18" spans="1:16" x14ac:dyDescent="0.3">
      <c r="A18" t="s">
        <v>79</v>
      </c>
      <c r="B18" t="s">
        <v>80</v>
      </c>
      <c r="C18" t="s">
        <v>13</v>
      </c>
      <c r="D18" t="s">
        <v>81</v>
      </c>
      <c r="E18">
        <v>27</v>
      </c>
      <c r="F18">
        <v>93</v>
      </c>
      <c r="G18">
        <v>88</v>
      </c>
      <c r="H18" s="1">
        <v>1.5</v>
      </c>
      <c r="I18" s="2">
        <v>45360</v>
      </c>
      <c r="J18" t="s">
        <v>82</v>
      </c>
      <c r="K18">
        <v>66</v>
      </c>
      <c r="L18" t="str">
        <f>IF(Table1[[#This Row],[Sales_Volume]]&gt;Table1[[#This Row],[Stock_Quantity]],"Pending","Fulfilled")</f>
        <v>Pending</v>
      </c>
      <c r="M18">
        <v>7</v>
      </c>
      <c r="N18">
        <v>13</v>
      </c>
      <c r="O18" t="str">
        <f>IF(Table1[[#This Row],[Stock_Quantity]]&lt;=Table1[[#This Row],[Reorder_Level]],"Reoeder required","Sufficient")</f>
        <v>Reoeder required</v>
      </c>
      <c r="P18" t="str">
        <f>IF(Table1[[#This Row],[Stock_Quantity]]=0,"Out of stock","Available")</f>
        <v>Available</v>
      </c>
    </row>
    <row r="19" spans="1:16" x14ac:dyDescent="0.3">
      <c r="A19" t="s">
        <v>83</v>
      </c>
      <c r="B19" t="s">
        <v>84</v>
      </c>
      <c r="C19" t="s">
        <v>45</v>
      </c>
      <c r="D19" t="s">
        <v>85</v>
      </c>
      <c r="E19">
        <v>49</v>
      </c>
      <c r="F19">
        <v>49</v>
      </c>
      <c r="G19">
        <v>26</v>
      </c>
      <c r="H19" s="1">
        <v>8</v>
      </c>
      <c r="I19" s="2">
        <v>45431</v>
      </c>
      <c r="J19" t="s">
        <v>86</v>
      </c>
      <c r="K19">
        <v>78</v>
      </c>
      <c r="L19" t="str">
        <f>IF(Table1[[#This Row],[Sales_Volume]]&gt;Table1[[#This Row],[Stock_Quantity]],"Pending","Fulfilled")</f>
        <v>Pending</v>
      </c>
      <c r="M19">
        <v>5</v>
      </c>
      <c r="N19">
        <v>61</v>
      </c>
      <c r="O19" t="str">
        <f>IF(Table1[[#This Row],[Stock_Quantity]]&lt;=Table1[[#This Row],[Reorder_Level]],"Reoeder required","Sufficient")</f>
        <v>Reoeder required</v>
      </c>
      <c r="P19" t="str">
        <f>IF(Table1[[#This Row],[Stock_Quantity]]=0,"Out of stock","Available")</f>
        <v>Available</v>
      </c>
    </row>
    <row r="20" spans="1:16" x14ac:dyDescent="0.3">
      <c r="A20" t="s">
        <v>87</v>
      </c>
      <c r="B20" t="s">
        <v>17</v>
      </c>
      <c r="C20" t="s">
        <v>18</v>
      </c>
      <c r="D20" t="s">
        <v>88</v>
      </c>
      <c r="E20">
        <v>55</v>
      </c>
      <c r="F20">
        <v>93</v>
      </c>
      <c r="G20">
        <v>84</v>
      </c>
      <c r="H20" s="1">
        <v>20</v>
      </c>
      <c r="I20" s="2">
        <v>45604</v>
      </c>
      <c r="J20" t="s">
        <v>89</v>
      </c>
      <c r="K20">
        <v>46</v>
      </c>
      <c r="L20" t="str">
        <f>IF(Table1[[#This Row],[Sales_Volume]]&gt;Table1[[#This Row],[Stock_Quantity]],"Pending","Fulfilled")</f>
        <v>Fulfilled</v>
      </c>
      <c r="M20">
        <v>8</v>
      </c>
      <c r="N20">
        <v>84</v>
      </c>
      <c r="O20" t="str">
        <f>IF(Table1[[#This Row],[Stock_Quantity]]&lt;=Table1[[#This Row],[Reorder_Level]],"Reoeder required","Sufficient")</f>
        <v>Reoeder required</v>
      </c>
      <c r="P20" t="str">
        <f>IF(Table1[[#This Row],[Stock_Quantity]]=0,"Out of stock","Available")</f>
        <v>Available</v>
      </c>
    </row>
    <row r="21" spans="1:16" x14ac:dyDescent="0.3">
      <c r="A21" t="s">
        <v>90</v>
      </c>
      <c r="B21" t="s">
        <v>60</v>
      </c>
      <c r="C21" t="s">
        <v>13</v>
      </c>
      <c r="D21" t="s">
        <v>91</v>
      </c>
      <c r="E21">
        <v>65</v>
      </c>
      <c r="F21">
        <v>61</v>
      </c>
      <c r="G21">
        <v>82</v>
      </c>
      <c r="H21" s="1">
        <v>2</v>
      </c>
      <c r="I21" s="2">
        <v>45696</v>
      </c>
      <c r="J21" t="s">
        <v>92</v>
      </c>
      <c r="K21">
        <v>29</v>
      </c>
      <c r="L21" t="str">
        <f>IF(Table1[[#This Row],[Sales_Volume]]&gt;Table1[[#This Row],[Stock_Quantity]],"Pending","Fulfilled")</f>
        <v>Fulfilled</v>
      </c>
      <c r="M21">
        <v>3</v>
      </c>
      <c r="N21">
        <v>11</v>
      </c>
      <c r="O21" t="str">
        <f>IF(Table1[[#This Row],[Stock_Quantity]]&lt;=Table1[[#This Row],[Reorder_Level]],"Reoeder required","Sufficient")</f>
        <v>Sufficient</v>
      </c>
      <c r="P21" t="str">
        <f>IF(Table1[[#This Row],[Stock_Quantity]]=0,"Out of stock","Available")</f>
        <v>Available</v>
      </c>
    </row>
    <row r="22" spans="1:16" x14ac:dyDescent="0.3">
      <c r="A22" t="s">
        <v>93</v>
      </c>
      <c r="B22" t="s">
        <v>94</v>
      </c>
      <c r="C22" t="s">
        <v>31</v>
      </c>
      <c r="D22" t="s">
        <v>95</v>
      </c>
      <c r="E22">
        <v>72</v>
      </c>
      <c r="F22">
        <v>70</v>
      </c>
      <c r="G22">
        <v>99</v>
      </c>
      <c r="H22" s="1">
        <v>2.5</v>
      </c>
      <c r="I22" s="2">
        <v>45440</v>
      </c>
      <c r="J22" t="s">
        <v>96</v>
      </c>
      <c r="K22">
        <v>82</v>
      </c>
      <c r="L22" t="str">
        <f>IF(Table1[[#This Row],[Sales_Volume]]&gt;Table1[[#This Row],[Stock_Quantity]],"Pending","Fulfilled")</f>
        <v>Pending</v>
      </c>
      <c r="M22">
        <v>3</v>
      </c>
      <c r="N22">
        <v>32</v>
      </c>
      <c r="O22" t="str">
        <f>IF(Table1[[#This Row],[Stock_Quantity]]&lt;=Table1[[#This Row],[Reorder_Level]],"Reoeder required","Sufficient")</f>
        <v>Sufficient</v>
      </c>
      <c r="P22" t="str">
        <f>IF(Table1[[#This Row],[Stock_Quantity]]=0,"Out of stock","Available")</f>
        <v>Available</v>
      </c>
    </row>
    <row r="23" spans="1:16" x14ac:dyDescent="0.3">
      <c r="A23" t="s">
        <v>97</v>
      </c>
      <c r="B23" t="s">
        <v>98</v>
      </c>
      <c r="C23" t="s">
        <v>99</v>
      </c>
      <c r="D23" t="s">
        <v>100</v>
      </c>
      <c r="E23">
        <v>49</v>
      </c>
      <c r="F23">
        <v>73</v>
      </c>
      <c r="G23">
        <v>48</v>
      </c>
      <c r="H23" s="1">
        <v>12</v>
      </c>
      <c r="I23" s="2">
        <v>45566</v>
      </c>
      <c r="J23" t="s">
        <v>101</v>
      </c>
      <c r="K23">
        <v>52</v>
      </c>
      <c r="L23" t="str">
        <f>IF(Table1[[#This Row],[Sales_Volume]]&gt;Table1[[#This Row],[Stock_Quantity]],"Pending","Fulfilled")</f>
        <v>Pending</v>
      </c>
      <c r="M23">
        <v>5</v>
      </c>
      <c r="N23">
        <v>62</v>
      </c>
      <c r="O23" t="str">
        <f>IF(Table1[[#This Row],[Stock_Quantity]]&lt;=Table1[[#This Row],[Reorder_Level]],"Reoeder required","Sufficient")</f>
        <v>Reoeder required</v>
      </c>
      <c r="P23" t="str">
        <f>IF(Table1[[#This Row],[Stock_Quantity]]=0,"Out of stock","Available")</f>
        <v>Available</v>
      </c>
    </row>
    <row r="24" spans="1:16" x14ac:dyDescent="0.3">
      <c r="A24" t="s">
        <v>102</v>
      </c>
      <c r="B24" t="s">
        <v>103</v>
      </c>
      <c r="C24" t="s">
        <v>31</v>
      </c>
      <c r="D24" t="s">
        <v>104</v>
      </c>
      <c r="E24">
        <v>81</v>
      </c>
      <c r="F24">
        <v>99</v>
      </c>
      <c r="G24">
        <v>28</v>
      </c>
      <c r="H24" s="1">
        <v>2</v>
      </c>
      <c r="I24" s="2">
        <v>45702</v>
      </c>
      <c r="J24" t="s">
        <v>105</v>
      </c>
      <c r="K24">
        <v>20</v>
      </c>
      <c r="L24" t="str">
        <f>IF(Table1[[#This Row],[Sales_Volume]]&gt;Table1[[#This Row],[Stock_Quantity]],"Pending","Fulfilled")</f>
        <v>Fulfilled</v>
      </c>
      <c r="M24">
        <v>4</v>
      </c>
      <c r="N24">
        <v>85</v>
      </c>
      <c r="O24" t="str">
        <f>IF(Table1[[#This Row],[Stock_Quantity]]&lt;=Table1[[#This Row],[Reorder_Level]],"Reoeder required","Sufficient")</f>
        <v>Reoeder required</v>
      </c>
      <c r="P24" t="str">
        <f>IF(Table1[[#This Row],[Stock_Quantity]]=0,"Out of stock","Available")</f>
        <v>Available</v>
      </c>
    </row>
    <row r="25" spans="1:16" x14ac:dyDescent="0.3">
      <c r="A25" t="s">
        <v>106</v>
      </c>
      <c r="B25" t="s">
        <v>107</v>
      </c>
      <c r="C25" t="s">
        <v>31</v>
      </c>
      <c r="D25" t="s">
        <v>108</v>
      </c>
      <c r="E25">
        <v>88</v>
      </c>
      <c r="F25">
        <v>46</v>
      </c>
      <c r="G25">
        <v>55</v>
      </c>
      <c r="H25" s="1">
        <v>1</v>
      </c>
      <c r="I25" s="2">
        <v>45357</v>
      </c>
      <c r="J25" t="s">
        <v>109</v>
      </c>
      <c r="K25">
        <v>73</v>
      </c>
      <c r="L25" t="str">
        <f>IF(Table1[[#This Row],[Sales_Volume]]&gt;Table1[[#This Row],[Stock_Quantity]],"Pending","Fulfilled")</f>
        <v>Fulfilled</v>
      </c>
      <c r="M25">
        <v>3</v>
      </c>
      <c r="N25">
        <v>63</v>
      </c>
      <c r="O25" t="str">
        <f>IF(Table1[[#This Row],[Stock_Quantity]]&lt;=Table1[[#This Row],[Reorder_Level]],"Reoeder required","Sufficient")</f>
        <v>Sufficient</v>
      </c>
      <c r="P25" t="str">
        <f>IF(Table1[[#This Row],[Stock_Quantity]]=0,"Out of stock","Available")</f>
        <v>Available</v>
      </c>
    </row>
    <row r="26" spans="1:16" x14ac:dyDescent="0.3">
      <c r="A26" t="s">
        <v>110</v>
      </c>
      <c r="B26" t="s">
        <v>111</v>
      </c>
      <c r="C26" t="s">
        <v>45</v>
      </c>
      <c r="D26" t="s">
        <v>112</v>
      </c>
      <c r="E26">
        <v>63</v>
      </c>
      <c r="F26">
        <v>4</v>
      </c>
      <c r="G26">
        <v>85</v>
      </c>
      <c r="H26" s="1">
        <v>12</v>
      </c>
      <c r="I26" s="2">
        <v>45670</v>
      </c>
      <c r="J26" t="s">
        <v>113</v>
      </c>
      <c r="K26">
        <v>59</v>
      </c>
      <c r="L26" t="str">
        <f>IF(Table1[[#This Row],[Sales_Volume]]&gt;Table1[[#This Row],[Stock_Quantity]],"Pending","Fulfilled")</f>
        <v>Fulfilled</v>
      </c>
      <c r="M26">
        <v>8</v>
      </c>
      <c r="N26">
        <v>71</v>
      </c>
      <c r="O26" t="str">
        <f>IF(Table1[[#This Row],[Stock_Quantity]]&lt;=Table1[[#This Row],[Reorder_Level]],"Reoeder required","Sufficient")</f>
        <v>Sufficient</v>
      </c>
      <c r="P26" t="str">
        <f>IF(Table1[[#This Row],[Stock_Quantity]]=0,"Out of stock","Available")</f>
        <v>Available</v>
      </c>
    </row>
    <row r="27" spans="1:16" x14ac:dyDescent="0.3">
      <c r="A27" t="s">
        <v>114</v>
      </c>
      <c r="B27" t="s">
        <v>115</v>
      </c>
      <c r="C27" t="s">
        <v>13</v>
      </c>
      <c r="D27" t="s">
        <v>116</v>
      </c>
      <c r="E27">
        <v>31</v>
      </c>
      <c r="F27">
        <v>43</v>
      </c>
      <c r="G27">
        <v>80</v>
      </c>
      <c r="H27" s="1">
        <v>1.5</v>
      </c>
      <c r="I27" s="2">
        <v>45710</v>
      </c>
      <c r="J27" t="s">
        <v>117</v>
      </c>
      <c r="K27">
        <v>46</v>
      </c>
      <c r="L27" t="str">
        <f>IF(Table1[[#This Row],[Sales_Volume]]&gt;Table1[[#This Row],[Stock_Quantity]],"Pending","Fulfilled")</f>
        <v>Pending</v>
      </c>
      <c r="M27">
        <v>2</v>
      </c>
      <c r="N27">
        <v>78</v>
      </c>
      <c r="O27" t="str">
        <f>IF(Table1[[#This Row],[Stock_Quantity]]&lt;=Table1[[#This Row],[Reorder_Level]],"Reoeder required","Sufficient")</f>
        <v>Reoeder required</v>
      </c>
      <c r="P27" t="str">
        <f>IF(Table1[[#This Row],[Stock_Quantity]]=0,"Out of stock","Available")</f>
        <v>Available</v>
      </c>
    </row>
    <row r="28" spans="1:16" x14ac:dyDescent="0.3">
      <c r="A28" t="s">
        <v>118</v>
      </c>
      <c r="B28" t="s">
        <v>119</v>
      </c>
      <c r="C28" t="s">
        <v>45</v>
      </c>
      <c r="D28" t="s">
        <v>120</v>
      </c>
      <c r="E28">
        <v>97</v>
      </c>
      <c r="F28">
        <v>88</v>
      </c>
      <c r="G28">
        <v>81</v>
      </c>
      <c r="H28" s="1">
        <v>0.8</v>
      </c>
      <c r="I28" s="2">
        <v>45480</v>
      </c>
      <c r="J28" t="s">
        <v>121</v>
      </c>
      <c r="K28">
        <v>97</v>
      </c>
      <c r="L28" t="str">
        <f>IF(Table1[[#This Row],[Sales_Volume]]&gt;Table1[[#This Row],[Stock_Quantity]],"Pending","Fulfilled")</f>
        <v>Fulfilled</v>
      </c>
      <c r="M28">
        <v>4</v>
      </c>
      <c r="N28">
        <v>18</v>
      </c>
      <c r="O28" t="str">
        <f>IF(Table1[[#This Row],[Stock_Quantity]]&lt;=Table1[[#This Row],[Reorder_Level]],"Reoeder required","Sufficient")</f>
        <v>Sufficient</v>
      </c>
      <c r="P28" t="str">
        <f>IF(Table1[[#This Row],[Stock_Quantity]]=0,"Out of stock","Available")</f>
        <v>Available</v>
      </c>
    </row>
    <row r="29" spans="1:16" x14ac:dyDescent="0.3">
      <c r="A29" t="s">
        <v>122</v>
      </c>
      <c r="B29" t="s">
        <v>123</v>
      </c>
      <c r="C29" t="s">
        <v>31</v>
      </c>
      <c r="D29" t="s">
        <v>124</v>
      </c>
      <c r="E29">
        <v>72</v>
      </c>
      <c r="F29">
        <v>87</v>
      </c>
      <c r="G29">
        <v>39</v>
      </c>
      <c r="H29" s="1">
        <v>6</v>
      </c>
      <c r="I29" s="2">
        <v>45712</v>
      </c>
      <c r="J29" t="s">
        <v>125</v>
      </c>
      <c r="K29">
        <v>94</v>
      </c>
      <c r="L29" t="str">
        <f>IF(Table1[[#This Row],[Sales_Volume]]&gt;Table1[[#This Row],[Stock_Quantity]],"Pending","Fulfilled")</f>
        <v>Pending</v>
      </c>
      <c r="M29">
        <v>3</v>
      </c>
      <c r="N29">
        <v>57</v>
      </c>
      <c r="O29" t="str">
        <f>IF(Table1[[#This Row],[Stock_Quantity]]&lt;=Table1[[#This Row],[Reorder_Level]],"Reoeder required","Sufficient")</f>
        <v>Reoeder required</v>
      </c>
      <c r="P29" t="str">
        <f>IF(Table1[[#This Row],[Stock_Quantity]]=0,"Out of stock","Available")</f>
        <v>Available</v>
      </c>
    </row>
    <row r="30" spans="1:16" x14ac:dyDescent="0.3">
      <c r="A30" t="s">
        <v>126</v>
      </c>
      <c r="B30" t="s">
        <v>127</v>
      </c>
      <c r="C30" t="s">
        <v>65</v>
      </c>
      <c r="D30" t="s">
        <v>104</v>
      </c>
      <c r="E30">
        <v>16</v>
      </c>
      <c r="F30">
        <v>9</v>
      </c>
      <c r="G30">
        <v>32</v>
      </c>
      <c r="H30" s="1">
        <v>5</v>
      </c>
      <c r="I30" s="2">
        <v>45525</v>
      </c>
      <c r="J30" t="s">
        <v>128</v>
      </c>
      <c r="K30">
        <v>50</v>
      </c>
      <c r="L30" t="str">
        <f>IF(Table1[[#This Row],[Sales_Volume]]&gt;Table1[[#This Row],[Stock_Quantity]],"Pending","Fulfilled")</f>
        <v>Pending</v>
      </c>
      <c r="M30">
        <v>8</v>
      </c>
      <c r="N30">
        <v>98</v>
      </c>
      <c r="O30" t="str">
        <f>IF(Table1[[#This Row],[Stock_Quantity]]&lt;=Table1[[#This Row],[Reorder_Level]],"Reoeder required","Sufficient")</f>
        <v>Sufficient</v>
      </c>
      <c r="P30" t="str">
        <f>IF(Table1[[#This Row],[Stock_Quantity]]=0,"Out of stock","Available")</f>
        <v>Available</v>
      </c>
    </row>
    <row r="31" spans="1:16" x14ac:dyDescent="0.3">
      <c r="A31" t="s">
        <v>129</v>
      </c>
      <c r="B31" t="s">
        <v>130</v>
      </c>
      <c r="C31" t="s">
        <v>31</v>
      </c>
      <c r="D31" t="s">
        <v>131</v>
      </c>
      <c r="E31">
        <v>77</v>
      </c>
      <c r="F31">
        <v>20</v>
      </c>
      <c r="G31">
        <v>5</v>
      </c>
      <c r="H31" s="1">
        <v>4.5</v>
      </c>
      <c r="I31" s="2">
        <v>45615</v>
      </c>
      <c r="J31" t="s">
        <v>132</v>
      </c>
      <c r="K31">
        <v>61</v>
      </c>
      <c r="L31" t="str">
        <f>IF(Table1[[#This Row],[Sales_Volume]]&gt;Table1[[#This Row],[Stock_Quantity]],"Pending","Fulfilled")</f>
        <v>Fulfilled</v>
      </c>
      <c r="M31">
        <v>5</v>
      </c>
      <c r="N31">
        <v>62</v>
      </c>
      <c r="O31" t="str">
        <f>IF(Table1[[#This Row],[Stock_Quantity]]&lt;=Table1[[#This Row],[Reorder_Level]],"Reoeder required","Sufficient")</f>
        <v>Sufficient</v>
      </c>
      <c r="P31" t="str">
        <f>IF(Table1[[#This Row],[Stock_Quantity]]=0,"Out of stock","Available")</f>
        <v>Available</v>
      </c>
    </row>
    <row r="32" spans="1:16" x14ac:dyDescent="0.3">
      <c r="A32" t="s">
        <v>133</v>
      </c>
      <c r="B32" t="s">
        <v>134</v>
      </c>
      <c r="C32" t="s">
        <v>31</v>
      </c>
      <c r="D32" t="s">
        <v>135</v>
      </c>
      <c r="E32">
        <v>19</v>
      </c>
      <c r="F32">
        <v>36</v>
      </c>
      <c r="G32">
        <v>72</v>
      </c>
      <c r="H32" s="1">
        <v>1.75</v>
      </c>
      <c r="I32" s="2">
        <v>45379</v>
      </c>
      <c r="J32" t="s">
        <v>136</v>
      </c>
      <c r="K32">
        <v>31</v>
      </c>
      <c r="L32" t="str">
        <f>IF(Table1[[#This Row],[Sales_Volume]]&gt;Table1[[#This Row],[Stock_Quantity]],"Pending","Fulfilled")</f>
        <v>Pending</v>
      </c>
      <c r="M32">
        <v>6</v>
      </c>
      <c r="N32">
        <v>81</v>
      </c>
      <c r="O32" t="str">
        <f>IF(Table1[[#This Row],[Stock_Quantity]]&lt;=Table1[[#This Row],[Reorder_Level]],"Reoeder required","Sufficient")</f>
        <v>Reoeder required</v>
      </c>
      <c r="P32" t="str">
        <f>IF(Table1[[#This Row],[Stock_Quantity]]=0,"Out of stock","Available")</f>
        <v>Available</v>
      </c>
    </row>
    <row r="33" spans="1:16" x14ac:dyDescent="0.3">
      <c r="A33" t="s">
        <v>137</v>
      </c>
      <c r="B33" t="s">
        <v>138</v>
      </c>
      <c r="C33" t="s">
        <v>31</v>
      </c>
      <c r="D33" t="s">
        <v>139</v>
      </c>
      <c r="E33">
        <v>18</v>
      </c>
      <c r="F33">
        <v>52</v>
      </c>
      <c r="G33">
        <v>22</v>
      </c>
      <c r="H33" s="1">
        <v>3.5</v>
      </c>
      <c r="I33" s="2">
        <v>45578</v>
      </c>
      <c r="J33" t="s">
        <v>140</v>
      </c>
      <c r="K33">
        <v>42</v>
      </c>
      <c r="L33" t="str">
        <f>IF(Table1[[#This Row],[Sales_Volume]]&gt;Table1[[#This Row],[Stock_Quantity]],"Pending","Fulfilled")</f>
        <v>Pending</v>
      </c>
      <c r="M33">
        <v>6</v>
      </c>
      <c r="N33">
        <v>32</v>
      </c>
      <c r="O33" t="str">
        <f>IF(Table1[[#This Row],[Stock_Quantity]]&lt;=Table1[[#This Row],[Reorder_Level]],"Reoeder required","Sufficient")</f>
        <v>Reoeder required</v>
      </c>
      <c r="P33" t="str">
        <f>IF(Table1[[#This Row],[Stock_Quantity]]=0,"Out of stock","Available")</f>
        <v>Available</v>
      </c>
    </row>
    <row r="34" spans="1:16" x14ac:dyDescent="0.3">
      <c r="A34" t="s">
        <v>141</v>
      </c>
      <c r="B34" t="s">
        <v>142</v>
      </c>
      <c r="C34" t="s">
        <v>40</v>
      </c>
      <c r="D34" t="s">
        <v>143</v>
      </c>
      <c r="E34">
        <v>47</v>
      </c>
      <c r="F34">
        <v>48</v>
      </c>
      <c r="G34">
        <v>73</v>
      </c>
      <c r="H34" s="1">
        <v>6</v>
      </c>
      <c r="I34" s="2">
        <v>45471</v>
      </c>
      <c r="J34" t="s">
        <v>144</v>
      </c>
      <c r="K34">
        <v>42</v>
      </c>
      <c r="L34" t="str">
        <f>IF(Table1[[#This Row],[Sales_Volume]]&gt;Table1[[#This Row],[Stock_Quantity]],"Pending","Fulfilled")</f>
        <v>Fulfilled</v>
      </c>
      <c r="M34">
        <v>4</v>
      </c>
      <c r="N34">
        <v>51</v>
      </c>
      <c r="O34" t="str">
        <f>IF(Table1[[#This Row],[Stock_Quantity]]&lt;=Table1[[#This Row],[Reorder_Level]],"Reoeder required","Sufficient")</f>
        <v>Reoeder required</v>
      </c>
      <c r="P34" t="str">
        <f>IF(Table1[[#This Row],[Stock_Quantity]]=0,"Out of stock","Available")</f>
        <v>Available</v>
      </c>
    </row>
    <row r="35" spans="1:16" x14ac:dyDescent="0.3">
      <c r="A35" t="s">
        <v>145</v>
      </c>
      <c r="B35" t="s">
        <v>146</v>
      </c>
      <c r="C35" t="s">
        <v>18</v>
      </c>
      <c r="D35" t="s">
        <v>147</v>
      </c>
      <c r="E35">
        <v>77</v>
      </c>
      <c r="F35">
        <v>45</v>
      </c>
      <c r="G35">
        <v>75</v>
      </c>
      <c r="H35" s="1">
        <v>30</v>
      </c>
      <c r="I35" s="2">
        <v>45523</v>
      </c>
      <c r="J35" t="s">
        <v>148</v>
      </c>
      <c r="K35">
        <v>25</v>
      </c>
      <c r="L35" t="str">
        <f>IF(Table1[[#This Row],[Sales_Volume]]&gt;Table1[[#This Row],[Stock_Quantity]],"Pending","Fulfilled")</f>
        <v>Fulfilled</v>
      </c>
      <c r="M35">
        <v>1</v>
      </c>
      <c r="N35">
        <v>37</v>
      </c>
      <c r="O35" t="str">
        <f>IF(Table1[[#This Row],[Stock_Quantity]]&lt;=Table1[[#This Row],[Reorder_Level]],"Reoeder required","Sufficient")</f>
        <v>Sufficient</v>
      </c>
      <c r="P35" t="str">
        <f>IF(Table1[[#This Row],[Stock_Quantity]]=0,"Out of stock","Available")</f>
        <v>Available</v>
      </c>
    </row>
    <row r="36" spans="1:16" x14ac:dyDescent="0.3">
      <c r="A36" t="s">
        <v>149</v>
      </c>
      <c r="B36" t="s">
        <v>150</v>
      </c>
      <c r="C36" t="s">
        <v>99</v>
      </c>
      <c r="D36" t="s">
        <v>151</v>
      </c>
      <c r="E36">
        <v>46</v>
      </c>
      <c r="F36">
        <v>28</v>
      </c>
      <c r="G36">
        <v>73</v>
      </c>
      <c r="H36" s="1">
        <v>9</v>
      </c>
      <c r="I36" s="2">
        <v>45593</v>
      </c>
      <c r="J36" t="s">
        <v>152</v>
      </c>
      <c r="K36">
        <v>65</v>
      </c>
      <c r="L36" t="str">
        <f>IF(Table1[[#This Row],[Sales_Volume]]&gt;Table1[[#This Row],[Stock_Quantity]],"Pending","Fulfilled")</f>
        <v>Pending</v>
      </c>
      <c r="M36">
        <v>1</v>
      </c>
      <c r="N36">
        <v>57</v>
      </c>
      <c r="O36" t="str">
        <f>IF(Table1[[#This Row],[Stock_Quantity]]&lt;=Table1[[#This Row],[Reorder_Level]],"Reoeder required","Sufficient")</f>
        <v>Sufficient</v>
      </c>
      <c r="P36" t="str">
        <f>IF(Table1[[#This Row],[Stock_Quantity]]=0,"Out of stock","Available")</f>
        <v>Available</v>
      </c>
    </row>
    <row r="37" spans="1:16" x14ac:dyDescent="0.3">
      <c r="A37" t="s">
        <v>153</v>
      </c>
      <c r="B37" t="s">
        <v>154</v>
      </c>
      <c r="C37" t="s">
        <v>31</v>
      </c>
      <c r="D37" t="s">
        <v>155</v>
      </c>
      <c r="E37">
        <v>39</v>
      </c>
      <c r="F37">
        <v>22</v>
      </c>
      <c r="G37">
        <v>73</v>
      </c>
      <c r="H37" s="1">
        <v>2</v>
      </c>
      <c r="I37" s="2">
        <v>45496</v>
      </c>
      <c r="J37" t="s">
        <v>156</v>
      </c>
      <c r="K37">
        <v>60</v>
      </c>
      <c r="L37" t="str">
        <f>IF(Table1[[#This Row],[Sales_Volume]]&gt;Table1[[#This Row],[Stock_Quantity]],"Pending","Fulfilled")</f>
        <v>Pending</v>
      </c>
      <c r="M37">
        <v>5</v>
      </c>
      <c r="N37">
        <v>2</v>
      </c>
      <c r="O37" t="str">
        <f>IF(Table1[[#This Row],[Stock_Quantity]]&lt;=Table1[[#This Row],[Reorder_Level]],"Reoeder required","Sufficient")</f>
        <v>Sufficient</v>
      </c>
      <c r="P37" t="str">
        <f>IF(Table1[[#This Row],[Stock_Quantity]]=0,"Out of stock","Available")</f>
        <v>Available</v>
      </c>
    </row>
    <row r="38" spans="1:16" x14ac:dyDescent="0.3">
      <c r="A38" t="s">
        <v>157</v>
      </c>
      <c r="B38" t="s">
        <v>12</v>
      </c>
      <c r="C38" t="s">
        <v>13</v>
      </c>
      <c r="D38" t="s">
        <v>158</v>
      </c>
      <c r="E38">
        <v>75</v>
      </c>
      <c r="F38">
        <v>69</v>
      </c>
      <c r="G38">
        <v>100</v>
      </c>
      <c r="H38" s="1">
        <v>4.5</v>
      </c>
      <c r="I38" s="2">
        <v>45676</v>
      </c>
      <c r="J38" t="s">
        <v>159</v>
      </c>
      <c r="K38">
        <v>43</v>
      </c>
      <c r="L38" t="str">
        <f>IF(Table1[[#This Row],[Sales_Volume]]&gt;Table1[[#This Row],[Stock_Quantity]],"Pending","Fulfilled")</f>
        <v>Fulfilled</v>
      </c>
      <c r="M38">
        <v>5</v>
      </c>
      <c r="N38">
        <v>18</v>
      </c>
      <c r="O38" t="str">
        <f>IF(Table1[[#This Row],[Stock_Quantity]]&lt;=Table1[[#This Row],[Reorder_Level]],"Reoeder required","Sufficient")</f>
        <v>Sufficient</v>
      </c>
      <c r="P38" t="str">
        <f>IF(Table1[[#This Row],[Stock_Quantity]]=0,"Out of stock","Available")</f>
        <v>Available</v>
      </c>
    </row>
    <row r="39" spans="1:16" x14ac:dyDescent="0.3">
      <c r="A39" t="s">
        <v>160</v>
      </c>
      <c r="B39" t="s">
        <v>138</v>
      </c>
      <c r="C39" t="s">
        <v>31</v>
      </c>
      <c r="D39" t="s">
        <v>161</v>
      </c>
      <c r="E39">
        <v>48</v>
      </c>
      <c r="F39">
        <v>48</v>
      </c>
      <c r="G39">
        <v>39</v>
      </c>
      <c r="H39" s="1">
        <v>3.45</v>
      </c>
      <c r="I39" s="2">
        <v>45682</v>
      </c>
      <c r="J39" t="s">
        <v>162</v>
      </c>
      <c r="K39">
        <v>51</v>
      </c>
      <c r="L39" t="str">
        <f>IF(Table1[[#This Row],[Sales_Volume]]&gt;Table1[[#This Row],[Stock_Quantity]],"Pending","Fulfilled")</f>
        <v>Pending</v>
      </c>
      <c r="M39">
        <v>2</v>
      </c>
      <c r="N39">
        <v>50</v>
      </c>
      <c r="O39" t="str">
        <f>IF(Table1[[#This Row],[Stock_Quantity]]&lt;=Table1[[#This Row],[Reorder_Level]],"Reoeder required","Sufficient")</f>
        <v>Reoeder required</v>
      </c>
      <c r="P39" t="str">
        <f>IF(Table1[[#This Row],[Stock_Quantity]]=0,"Out of stock","Available")</f>
        <v>Available</v>
      </c>
    </row>
    <row r="40" spans="1:16" x14ac:dyDescent="0.3">
      <c r="A40" t="s">
        <v>163</v>
      </c>
      <c r="B40" t="s">
        <v>164</v>
      </c>
      <c r="C40" t="s">
        <v>31</v>
      </c>
      <c r="D40" t="s">
        <v>165</v>
      </c>
      <c r="E40">
        <v>61</v>
      </c>
      <c r="F40">
        <v>90</v>
      </c>
      <c r="G40">
        <v>26</v>
      </c>
      <c r="H40" s="1">
        <v>2.5</v>
      </c>
      <c r="I40" s="2">
        <v>45542</v>
      </c>
      <c r="J40" t="s">
        <v>166</v>
      </c>
      <c r="K40">
        <v>79</v>
      </c>
      <c r="L40" t="str">
        <f>IF(Table1[[#This Row],[Sales_Volume]]&gt;Table1[[#This Row],[Stock_Quantity]],"Pending","Fulfilled")</f>
        <v>Pending</v>
      </c>
      <c r="M40">
        <v>6</v>
      </c>
      <c r="N40">
        <v>84</v>
      </c>
      <c r="O40" t="str">
        <f>IF(Table1[[#This Row],[Stock_Quantity]]&lt;=Table1[[#This Row],[Reorder_Level]],"Reoeder required","Sufficient")</f>
        <v>Reoeder required</v>
      </c>
      <c r="P40" t="str">
        <f>IF(Table1[[#This Row],[Stock_Quantity]]=0,"Out of stock","Available")</f>
        <v>Available</v>
      </c>
    </row>
    <row r="41" spans="1:16" x14ac:dyDescent="0.3">
      <c r="A41" t="s">
        <v>167</v>
      </c>
      <c r="B41" t="s">
        <v>168</v>
      </c>
      <c r="C41" t="s">
        <v>13</v>
      </c>
      <c r="D41" t="s">
        <v>169</v>
      </c>
      <c r="E41">
        <v>60</v>
      </c>
      <c r="F41">
        <v>90</v>
      </c>
      <c r="G41">
        <v>85</v>
      </c>
      <c r="H41" s="1">
        <v>3</v>
      </c>
      <c r="I41" s="2">
        <v>45371</v>
      </c>
      <c r="J41" t="s">
        <v>170</v>
      </c>
      <c r="K41">
        <v>47</v>
      </c>
      <c r="L41" t="str">
        <f>IF(Table1[[#This Row],[Sales_Volume]]&gt;Table1[[#This Row],[Stock_Quantity]],"Pending","Fulfilled")</f>
        <v>Fulfilled</v>
      </c>
      <c r="M41">
        <v>5</v>
      </c>
      <c r="N41">
        <v>9</v>
      </c>
      <c r="O41" t="str">
        <f>IF(Table1[[#This Row],[Stock_Quantity]]&lt;=Table1[[#This Row],[Reorder_Level]],"Reoeder required","Sufficient")</f>
        <v>Reoeder required</v>
      </c>
      <c r="P41" t="str">
        <f>IF(Table1[[#This Row],[Stock_Quantity]]=0,"Out of stock","Available")</f>
        <v>Available</v>
      </c>
    </row>
    <row r="42" spans="1:16" x14ac:dyDescent="0.3">
      <c r="A42" t="s">
        <v>171</v>
      </c>
      <c r="B42" t="s">
        <v>172</v>
      </c>
      <c r="C42" t="s">
        <v>31</v>
      </c>
      <c r="D42" t="s">
        <v>173</v>
      </c>
      <c r="E42">
        <v>24</v>
      </c>
      <c r="F42">
        <v>55</v>
      </c>
      <c r="G42">
        <v>51</v>
      </c>
      <c r="H42" s="1">
        <v>5</v>
      </c>
      <c r="I42" s="2">
        <v>45712</v>
      </c>
      <c r="J42" t="s">
        <v>174</v>
      </c>
      <c r="K42">
        <v>39</v>
      </c>
      <c r="L42" t="str">
        <f>IF(Table1[[#This Row],[Sales_Volume]]&gt;Table1[[#This Row],[Stock_Quantity]],"Pending","Fulfilled")</f>
        <v>Pending</v>
      </c>
      <c r="M42">
        <v>6</v>
      </c>
      <c r="N42">
        <v>15</v>
      </c>
      <c r="O42" t="str">
        <f>IF(Table1[[#This Row],[Stock_Quantity]]&lt;=Table1[[#This Row],[Reorder_Level]],"Reoeder required","Sufficient")</f>
        <v>Reoeder required</v>
      </c>
      <c r="P42" t="str">
        <f>IF(Table1[[#This Row],[Stock_Quantity]]=0,"Out of stock","Available")</f>
        <v>Available</v>
      </c>
    </row>
    <row r="43" spans="1:16" x14ac:dyDescent="0.3">
      <c r="A43" t="s">
        <v>175</v>
      </c>
      <c r="B43" t="s">
        <v>176</v>
      </c>
      <c r="C43" t="s">
        <v>31</v>
      </c>
      <c r="D43" t="s">
        <v>177</v>
      </c>
      <c r="E43">
        <v>12</v>
      </c>
      <c r="F43">
        <v>7</v>
      </c>
      <c r="G43">
        <v>48</v>
      </c>
      <c r="H43" s="1">
        <v>2.2999999999999998</v>
      </c>
      <c r="I43" s="2">
        <v>45651</v>
      </c>
      <c r="J43" t="s">
        <v>178</v>
      </c>
      <c r="K43">
        <v>66</v>
      </c>
      <c r="L43" t="str">
        <f>IF(Table1[[#This Row],[Sales_Volume]]&gt;Table1[[#This Row],[Stock_Quantity]],"Pending","Fulfilled")</f>
        <v>Pending</v>
      </c>
      <c r="M43">
        <v>3</v>
      </c>
      <c r="N43">
        <v>4</v>
      </c>
      <c r="O43" t="str">
        <f>IF(Table1[[#This Row],[Stock_Quantity]]&lt;=Table1[[#This Row],[Reorder_Level]],"Reoeder required","Sufficient")</f>
        <v>Sufficient</v>
      </c>
      <c r="P43" t="str">
        <f>IF(Table1[[#This Row],[Stock_Quantity]]=0,"Out of stock","Available")</f>
        <v>Available</v>
      </c>
    </row>
    <row r="44" spans="1:16" x14ac:dyDescent="0.3">
      <c r="A44" t="s">
        <v>179</v>
      </c>
      <c r="B44" t="s">
        <v>180</v>
      </c>
      <c r="C44" t="s">
        <v>18</v>
      </c>
      <c r="D44" t="s">
        <v>120</v>
      </c>
      <c r="E44">
        <v>84</v>
      </c>
      <c r="F44">
        <v>13</v>
      </c>
      <c r="G44">
        <v>88</v>
      </c>
      <c r="H44" s="1">
        <v>15</v>
      </c>
      <c r="I44" s="2">
        <v>45630</v>
      </c>
      <c r="J44" t="s">
        <v>181</v>
      </c>
      <c r="K44">
        <v>25</v>
      </c>
      <c r="L44" t="str">
        <f>IF(Table1[[#This Row],[Sales_Volume]]&gt;Table1[[#This Row],[Stock_Quantity]],"Pending","Fulfilled")</f>
        <v>Fulfilled</v>
      </c>
      <c r="M44">
        <v>3</v>
      </c>
      <c r="N44">
        <v>34</v>
      </c>
      <c r="O44" t="str">
        <f>IF(Table1[[#This Row],[Stock_Quantity]]&lt;=Table1[[#This Row],[Reorder_Level]],"Reoeder required","Sufficient")</f>
        <v>Sufficient</v>
      </c>
      <c r="P44" t="str">
        <f>IF(Table1[[#This Row],[Stock_Quantity]]=0,"Out of stock","Available")</f>
        <v>Available</v>
      </c>
    </row>
    <row r="45" spans="1:16" x14ac:dyDescent="0.3">
      <c r="A45" t="s">
        <v>182</v>
      </c>
      <c r="B45" t="s">
        <v>183</v>
      </c>
      <c r="C45" t="s">
        <v>45</v>
      </c>
      <c r="D45" t="s">
        <v>184</v>
      </c>
      <c r="E45">
        <v>51</v>
      </c>
      <c r="F45">
        <v>100</v>
      </c>
      <c r="G45">
        <v>70</v>
      </c>
      <c r="H45" s="1">
        <v>3</v>
      </c>
      <c r="I45" s="2">
        <v>45586</v>
      </c>
      <c r="J45" t="s">
        <v>185</v>
      </c>
      <c r="K45">
        <v>40</v>
      </c>
      <c r="L45" t="str">
        <f>IF(Table1[[#This Row],[Sales_Volume]]&gt;Table1[[#This Row],[Stock_Quantity]],"Pending","Fulfilled")</f>
        <v>Fulfilled</v>
      </c>
      <c r="M45">
        <v>2</v>
      </c>
      <c r="N45">
        <v>21</v>
      </c>
      <c r="O45" t="str">
        <f>IF(Table1[[#This Row],[Stock_Quantity]]&lt;=Table1[[#This Row],[Reorder_Level]],"Reoeder required","Sufficient")</f>
        <v>Reoeder required</v>
      </c>
      <c r="P45" t="str">
        <f>IF(Table1[[#This Row],[Stock_Quantity]]=0,"Out of stock","Available")</f>
        <v>Available</v>
      </c>
    </row>
    <row r="46" spans="1:16" x14ac:dyDescent="0.3">
      <c r="A46" t="s">
        <v>186</v>
      </c>
      <c r="B46" t="s">
        <v>187</v>
      </c>
      <c r="C46" t="s">
        <v>65</v>
      </c>
      <c r="D46" t="s">
        <v>188</v>
      </c>
      <c r="E46">
        <v>65</v>
      </c>
      <c r="F46">
        <v>36</v>
      </c>
      <c r="G46">
        <v>37</v>
      </c>
      <c r="H46" s="1">
        <v>3.5</v>
      </c>
      <c r="I46" s="2">
        <v>45455</v>
      </c>
      <c r="J46" t="s">
        <v>189</v>
      </c>
      <c r="K46">
        <v>32</v>
      </c>
      <c r="L46" t="str">
        <f>IF(Table1[[#This Row],[Sales_Volume]]&gt;Table1[[#This Row],[Stock_Quantity]],"Pending","Fulfilled")</f>
        <v>Fulfilled</v>
      </c>
      <c r="M46">
        <v>2</v>
      </c>
      <c r="N46">
        <v>70</v>
      </c>
      <c r="O46" t="str">
        <f>IF(Table1[[#This Row],[Stock_Quantity]]&lt;=Table1[[#This Row],[Reorder_Level]],"Reoeder required","Sufficient")</f>
        <v>Sufficient</v>
      </c>
      <c r="P46" t="str">
        <f>IF(Table1[[#This Row],[Stock_Quantity]]=0,"Out of stock","Available")</f>
        <v>Available</v>
      </c>
    </row>
    <row r="47" spans="1:16" x14ac:dyDescent="0.3">
      <c r="A47" t="s">
        <v>190</v>
      </c>
      <c r="B47" t="s">
        <v>26</v>
      </c>
      <c r="C47" t="s">
        <v>13</v>
      </c>
      <c r="D47" t="s">
        <v>191</v>
      </c>
      <c r="E47">
        <v>67</v>
      </c>
      <c r="F47">
        <v>88</v>
      </c>
      <c r="G47">
        <v>32</v>
      </c>
      <c r="H47" s="1">
        <v>1.5</v>
      </c>
      <c r="I47" s="2">
        <v>45413</v>
      </c>
      <c r="J47" t="s">
        <v>192</v>
      </c>
      <c r="K47">
        <v>66</v>
      </c>
      <c r="L47" t="str">
        <f>IF(Table1[[#This Row],[Sales_Volume]]&gt;Table1[[#This Row],[Stock_Quantity]],"Pending","Fulfilled")</f>
        <v>Fulfilled</v>
      </c>
      <c r="M47">
        <v>4</v>
      </c>
      <c r="N47">
        <v>42</v>
      </c>
      <c r="O47" t="str">
        <f>IF(Table1[[#This Row],[Stock_Quantity]]&lt;=Table1[[#This Row],[Reorder_Level]],"Reoeder required","Sufficient")</f>
        <v>Reoeder required</v>
      </c>
      <c r="P47" t="str">
        <f>IF(Table1[[#This Row],[Stock_Quantity]]=0,"Out of stock","Available")</f>
        <v>Available</v>
      </c>
    </row>
    <row r="48" spans="1:16" x14ac:dyDescent="0.3">
      <c r="A48" t="s">
        <v>193</v>
      </c>
      <c r="B48" t="s">
        <v>80</v>
      </c>
      <c r="C48" t="s">
        <v>13</v>
      </c>
      <c r="D48" t="s">
        <v>194</v>
      </c>
      <c r="E48">
        <v>14</v>
      </c>
      <c r="F48">
        <v>74</v>
      </c>
      <c r="G48">
        <v>71</v>
      </c>
      <c r="H48" s="1">
        <v>1.5</v>
      </c>
      <c r="I48" s="2">
        <v>45618</v>
      </c>
      <c r="J48" t="s">
        <v>195</v>
      </c>
      <c r="K48">
        <v>37</v>
      </c>
      <c r="L48" t="str">
        <f>IF(Table1[[#This Row],[Sales_Volume]]&gt;Table1[[#This Row],[Stock_Quantity]],"Pending","Fulfilled")</f>
        <v>Pending</v>
      </c>
      <c r="M48">
        <v>6</v>
      </c>
      <c r="N48">
        <v>22</v>
      </c>
      <c r="O48" t="str">
        <f>IF(Table1[[#This Row],[Stock_Quantity]]&lt;=Table1[[#This Row],[Reorder_Level]],"Reoeder required","Sufficient")</f>
        <v>Reoeder required</v>
      </c>
      <c r="P48" t="str">
        <f>IF(Table1[[#This Row],[Stock_Quantity]]=0,"Out of stock","Available")</f>
        <v>Available</v>
      </c>
    </row>
    <row r="49" spans="1:16" x14ac:dyDescent="0.3">
      <c r="A49" t="s">
        <v>196</v>
      </c>
      <c r="B49" t="s">
        <v>197</v>
      </c>
      <c r="C49" t="s">
        <v>31</v>
      </c>
      <c r="D49" t="s">
        <v>198</v>
      </c>
      <c r="E49">
        <v>45</v>
      </c>
      <c r="F49">
        <v>24</v>
      </c>
      <c r="G49">
        <v>61</v>
      </c>
      <c r="H49" s="1">
        <v>6</v>
      </c>
      <c r="I49" s="2">
        <v>45695</v>
      </c>
      <c r="J49" t="s">
        <v>199</v>
      </c>
      <c r="K49">
        <v>44</v>
      </c>
      <c r="L49" t="str">
        <f>IF(Table1[[#This Row],[Sales_Volume]]&gt;Table1[[#This Row],[Stock_Quantity]],"Pending","Fulfilled")</f>
        <v>Fulfilled</v>
      </c>
      <c r="M49">
        <v>8</v>
      </c>
      <c r="N49">
        <v>34</v>
      </c>
      <c r="O49" t="str">
        <f>IF(Table1[[#This Row],[Stock_Quantity]]&lt;=Table1[[#This Row],[Reorder_Level]],"Reoeder required","Sufficient")</f>
        <v>Sufficient</v>
      </c>
      <c r="P49" t="str">
        <f>IF(Table1[[#This Row],[Stock_Quantity]]=0,"Out of stock","Available")</f>
        <v>Available</v>
      </c>
    </row>
    <row r="50" spans="1:16" x14ac:dyDescent="0.3">
      <c r="A50" t="s">
        <v>200</v>
      </c>
      <c r="B50" t="s">
        <v>172</v>
      </c>
      <c r="C50" t="s">
        <v>31</v>
      </c>
      <c r="D50" t="s">
        <v>201</v>
      </c>
      <c r="E50">
        <v>92</v>
      </c>
      <c r="F50">
        <v>46</v>
      </c>
      <c r="G50">
        <v>13</v>
      </c>
      <c r="H50" s="1">
        <v>5</v>
      </c>
      <c r="I50" s="2">
        <v>45583</v>
      </c>
      <c r="J50" t="s">
        <v>202</v>
      </c>
      <c r="K50">
        <v>24</v>
      </c>
      <c r="L50" t="str">
        <f>IF(Table1[[#This Row],[Sales_Volume]]&gt;Table1[[#This Row],[Stock_Quantity]],"Pending","Fulfilled")</f>
        <v>Fulfilled</v>
      </c>
      <c r="M50">
        <v>3</v>
      </c>
      <c r="N50">
        <v>75</v>
      </c>
      <c r="O50" t="str">
        <f>IF(Table1[[#This Row],[Stock_Quantity]]&lt;=Table1[[#This Row],[Reorder_Level]],"Reoeder required","Sufficient")</f>
        <v>Sufficient</v>
      </c>
      <c r="P50" t="str">
        <f>IF(Table1[[#This Row],[Stock_Quantity]]=0,"Out of stock","Available")</f>
        <v>Available</v>
      </c>
    </row>
    <row r="51" spans="1:16" x14ac:dyDescent="0.3">
      <c r="A51" t="s">
        <v>203</v>
      </c>
      <c r="B51" t="s">
        <v>204</v>
      </c>
      <c r="C51" t="s">
        <v>65</v>
      </c>
      <c r="D51" t="s">
        <v>205</v>
      </c>
      <c r="E51">
        <v>41</v>
      </c>
      <c r="F51">
        <v>84</v>
      </c>
      <c r="G51">
        <v>90</v>
      </c>
      <c r="H51" s="1">
        <v>4</v>
      </c>
      <c r="I51" s="2">
        <v>45624</v>
      </c>
      <c r="J51" t="s">
        <v>206</v>
      </c>
      <c r="K51">
        <v>42</v>
      </c>
      <c r="L51" t="str">
        <f>IF(Table1[[#This Row],[Sales_Volume]]&gt;Table1[[#This Row],[Stock_Quantity]],"Pending","Fulfilled")</f>
        <v>Pending</v>
      </c>
      <c r="M51">
        <v>2</v>
      </c>
      <c r="N51">
        <v>65</v>
      </c>
      <c r="O51" t="str">
        <f>IF(Table1[[#This Row],[Stock_Quantity]]&lt;=Table1[[#This Row],[Reorder_Level]],"Reoeder required","Sufficient")</f>
        <v>Reoeder required</v>
      </c>
      <c r="P51" t="str">
        <f>IF(Table1[[#This Row],[Stock_Quantity]]=0,"Out of stock","Available")</f>
        <v>Available</v>
      </c>
    </row>
    <row r="52" spans="1:16" x14ac:dyDescent="0.3">
      <c r="A52" t="s">
        <v>207</v>
      </c>
      <c r="B52" t="s">
        <v>168</v>
      </c>
      <c r="C52" t="s">
        <v>13</v>
      </c>
      <c r="D52" t="s">
        <v>208</v>
      </c>
      <c r="E52">
        <v>41</v>
      </c>
      <c r="F52">
        <v>36</v>
      </c>
      <c r="G52">
        <v>78</v>
      </c>
      <c r="H52" s="1">
        <v>4.5</v>
      </c>
      <c r="I52" s="2">
        <v>45569</v>
      </c>
      <c r="J52" t="s">
        <v>209</v>
      </c>
      <c r="K52">
        <v>38</v>
      </c>
      <c r="L52" t="str">
        <f>IF(Table1[[#This Row],[Sales_Volume]]&gt;Table1[[#This Row],[Stock_Quantity]],"Pending","Fulfilled")</f>
        <v>Fulfilled</v>
      </c>
      <c r="M52">
        <v>7</v>
      </c>
      <c r="N52">
        <v>75</v>
      </c>
      <c r="O52" t="str">
        <f>IF(Table1[[#This Row],[Stock_Quantity]]&lt;=Table1[[#This Row],[Reorder_Level]],"Reoeder required","Sufficient")</f>
        <v>Sufficient</v>
      </c>
      <c r="P52" t="str">
        <f>IF(Table1[[#This Row],[Stock_Quantity]]=0,"Out of stock","Available")</f>
        <v>Available</v>
      </c>
    </row>
    <row r="53" spans="1:16" x14ac:dyDescent="0.3">
      <c r="A53" t="s">
        <v>210</v>
      </c>
      <c r="B53" t="s">
        <v>211</v>
      </c>
      <c r="C53" t="s">
        <v>31</v>
      </c>
      <c r="D53" t="s">
        <v>95</v>
      </c>
      <c r="E53">
        <v>85</v>
      </c>
      <c r="F53">
        <v>45</v>
      </c>
      <c r="G53">
        <v>71</v>
      </c>
      <c r="H53" s="1">
        <v>3</v>
      </c>
      <c r="I53" s="2">
        <v>45654</v>
      </c>
      <c r="J53" t="s">
        <v>212</v>
      </c>
      <c r="K53">
        <v>95</v>
      </c>
      <c r="L53" t="str">
        <f>IF(Table1[[#This Row],[Sales_Volume]]&gt;Table1[[#This Row],[Stock_Quantity]],"Pending","Fulfilled")</f>
        <v>Pending</v>
      </c>
      <c r="M53">
        <v>6</v>
      </c>
      <c r="N53">
        <v>72</v>
      </c>
      <c r="O53" t="str">
        <f>IF(Table1[[#This Row],[Stock_Quantity]]&lt;=Table1[[#This Row],[Reorder_Level]],"Reoeder required","Sufficient")</f>
        <v>Sufficient</v>
      </c>
      <c r="P53" t="str">
        <f>IF(Table1[[#This Row],[Stock_Quantity]]=0,"Out of stock","Available")</f>
        <v>Available</v>
      </c>
    </row>
    <row r="54" spans="1:16" x14ac:dyDescent="0.3">
      <c r="A54" t="s">
        <v>213</v>
      </c>
      <c r="B54" t="s">
        <v>138</v>
      </c>
      <c r="C54" t="s">
        <v>31</v>
      </c>
      <c r="D54" t="s">
        <v>214</v>
      </c>
      <c r="E54">
        <v>44</v>
      </c>
      <c r="F54">
        <v>80</v>
      </c>
      <c r="G54">
        <v>84</v>
      </c>
      <c r="H54" s="1">
        <v>3.4</v>
      </c>
      <c r="I54" s="2">
        <v>45582</v>
      </c>
      <c r="J54" t="s">
        <v>215</v>
      </c>
      <c r="K54">
        <v>96</v>
      </c>
      <c r="L54" t="str">
        <f>IF(Table1[[#This Row],[Sales_Volume]]&gt;Table1[[#This Row],[Stock_Quantity]],"Pending","Fulfilled")</f>
        <v>Pending</v>
      </c>
      <c r="M54">
        <v>6</v>
      </c>
      <c r="N54">
        <v>68</v>
      </c>
      <c r="O54" t="str">
        <f>IF(Table1[[#This Row],[Stock_Quantity]]&lt;=Table1[[#This Row],[Reorder_Level]],"Reoeder required","Sufficient")</f>
        <v>Reoeder required</v>
      </c>
      <c r="P54" t="str">
        <f>IF(Table1[[#This Row],[Stock_Quantity]]=0,"Out of stock","Available")</f>
        <v>Available</v>
      </c>
    </row>
    <row r="55" spans="1:16" x14ac:dyDescent="0.3">
      <c r="A55" t="s">
        <v>216</v>
      </c>
      <c r="B55" t="s">
        <v>217</v>
      </c>
      <c r="C55" t="s">
        <v>65</v>
      </c>
      <c r="D55" t="s">
        <v>155</v>
      </c>
      <c r="E55">
        <v>92</v>
      </c>
      <c r="F55">
        <v>87</v>
      </c>
      <c r="G55">
        <v>84</v>
      </c>
      <c r="H55" s="1">
        <v>2.5</v>
      </c>
      <c r="I55" s="2">
        <v>45457</v>
      </c>
      <c r="J55" t="s">
        <v>218</v>
      </c>
      <c r="K55">
        <v>61</v>
      </c>
      <c r="L55" t="str">
        <f>IF(Table1[[#This Row],[Sales_Volume]]&gt;Table1[[#This Row],[Stock_Quantity]],"Pending","Fulfilled")</f>
        <v>Fulfilled</v>
      </c>
      <c r="M55">
        <v>1</v>
      </c>
      <c r="N55">
        <v>31</v>
      </c>
      <c r="O55" t="str">
        <f>IF(Table1[[#This Row],[Stock_Quantity]]&lt;=Table1[[#This Row],[Reorder_Level]],"Reoeder required","Sufficient")</f>
        <v>Sufficient</v>
      </c>
      <c r="P55" t="str">
        <f>IF(Table1[[#This Row],[Stock_Quantity]]=0,"Out of stock","Available")</f>
        <v>Available</v>
      </c>
    </row>
    <row r="56" spans="1:16" x14ac:dyDescent="0.3">
      <c r="A56" t="s">
        <v>219</v>
      </c>
      <c r="B56" t="s">
        <v>220</v>
      </c>
      <c r="C56" t="s">
        <v>18</v>
      </c>
      <c r="D56" t="s">
        <v>221</v>
      </c>
      <c r="E56">
        <v>62</v>
      </c>
      <c r="F56">
        <v>89</v>
      </c>
      <c r="G56">
        <v>18</v>
      </c>
      <c r="H56" s="1">
        <v>12</v>
      </c>
      <c r="I56" s="2">
        <v>45700</v>
      </c>
      <c r="J56" t="s">
        <v>222</v>
      </c>
      <c r="K56">
        <v>35</v>
      </c>
      <c r="L56" t="str">
        <f>IF(Table1[[#This Row],[Sales_Volume]]&gt;Table1[[#This Row],[Stock_Quantity]],"Pending","Fulfilled")</f>
        <v>Fulfilled</v>
      </c>
      <c r="M56">
        <v>7</v>
      </c>
      <c r="N56">
        <v>36</v>
      </c>
      <c r="O56" t="str">
        <f>IF(Table1[[#This Row],[Stock_Quantity]]&lt;=Table1[[#This Row],[Reorder_Level]],"Reoeder required","Sufficient")</f>
        <v>Reoeder required</v>
      </c>
      <c r="P56" t="str">
        <f>IF(Table1[[#This Row],[Stock_Quantity]]=0,"Out of stock","Available")</f>
        <v>Available</v>
      </c>
    </row>
    <row r="57" spans="1:16" x14ac:dyDescent="0.3">
      <c r="A57" t="s">
        <v>223</v>
      </c>
      <c r="B57" t="s">
        <v>164</v>
      </c>
      <c r="C57" t="s">
        <v>31</v>
      </c>
      <c r="D57" t="s">
        <v>135</v>
      </c>
      <c r="E57">
        <v>26</v>
      </c>
      <c r="F57">
        <v>18</v>
      </c>
      <c r="G57">
        <v>62</v>
      </c>
      <c r="H57" s="1">
        <v>2.5</v>
      </c>
      <c r="I57" s="2">
        <v>45494</v>
      </c>
      <c r="J57" t="s">
        <v>224</v>
      </c>
      <c r="K57">
        <v>57</v>
      </c>
      <c r="L57" t="str">
        <f>IF(Table1[[#This Row],[Sales_Volume]]&gt;Table1[[#This Row],[Stock_Quantity]],"Pending","Fulfilled")</f>
        <v>Pending</v>
      </c>
      <c r="M57">
        <v>3</v>
      </c>
      <c r="N57">
        <v>86</v>
      </c>
      <c r="O57" t="str">
        <f>IF(Table1[[#This Row],[Stock_Quantity]]&lt;=Table1[[#This Row],[Reorder_Level]],"Reoeder required","Sufficient")</f>
        <v>Sufficient</v>
      </c>
      <c r="P57" t="str">
        <f>IF(Table1[[#This Row],[Stock_Quantity]]=0,"Out of stock","Available")</f>
        <v>Available</v>
      </c>
    </row>
    <row r="58" spans="1:16" x14ac:dyDescent="0.3">
      <c r="A58" t="s">
        <v>225</v>
      </c>
      <c r="B58" t="s">
        <v>204</v>
      </c>
      <c r="C58" t="s">
        <v>65</v>
      </c>
      <c r="D58" t="s">
        <v>226</v>
      </c>
      <c r="E58">
        <v>59</v>
      </c>
      <c r="F58">
        <v>78</v>
      </c>
      <c r="G58">
        <v>6</v>
      </c>
      <c r="H58" s="1">
        <v>4.5</v>
      </c>
      <c r="I58" s="2">
        <v>45453</v>
      </c>
      <c r="J58" t="s">
        <v>227</v>
      </c>
      <c r="K58">
        <v>32</v>
      </c>
      <c r="L58" t="str">
        <f>IF(Table1[[#This Row],[Sales_Volume]]&gt;Table1[[#This Row],[Stock_Quantity]],"Pending","Fulfilled")</f>
        <v>Fulfilled</v>
      </c>
      <c r="M58">
        <v>8</v>
      </c>
      <c r="N58">
        <v>3</v>
      </c>
      <c r="O58" t="str">
        <f>IF(Table1[[#This Row],[Stock_Quantity]]&lt;=Table1[[#This Row],[Reorder_Level]],"Reoeder required","Sufficient")</f>
        <v>Reoeder required</v>
      </c>
      <c r="P58" t="str">
        <f>IF(Table1[[#This Row],[Stock_Quantity]]=0,"Out of stock","Available")</f>
        <v>Available</v>
      </c>
    </row>
    <row r="59" spans="1:16" x14ac:dyDescent="0.3">
      <c r="A59" t="s">
        <v>228</v>
      </c>
      <c r="B59" t="s">
        <v>211</v>
      </c>
      <c r="C59" t="s">
        <v>31</v>
      </c>
      <c r="D59" t="s">
        <v>229</v>
      </c>
      <c r="E59">
        <v>88</v>
      </c>
      <c r="F59">
        <v>37</v>
      </c>
      <c r="G59">
        <v>61</v>
      </c>
      <c r="H59" s="1">
        <v>2.9</v>
      </c>
      <c r="I59" s="2">
        <v>45609</v>
      </c>
      <c r="J59" t="s">
        <v>230</v>
      </c>
      <c r="K59">
        <v>63</v>
      </c>
      <c r="L59" t="str">
        <f>IF(Table1[[#This Row],[Sales_Volume]]&gt;Table1[[#This Row],[Stock_Quantity]],"Pending","Fulfilled")</f>
        <v>Fulfilled</v>
      </c>
      <c r="M59">
        <v>5</v>
      </c>
      <c r="N59">
        <v>35</v>
      </c>
      <c r="O59" t="str">
        <f>IF(Table1[[#This Row],[Stock_Quantity]]&lt;=Table1[[#This Row],[Reorder_Level]],"Reoeder required","Sufficient")</f>
        <v>Sufficient</v>
      </c>
      <c r="P59" t="str">
        <f>IF(Table1[[#This Row],[Stock_Quantity]]=0,"Out of stock","Available")</f>
        <v>Available</v>
      </c>
    </row>
    <row r="60" spans="1:16" x14ac:dyDescent="0.3">
      <c r="A60" t="s">
        <v>231</v>
      </c>
      <c r="B60" t="s">
        <v>232</v>
      </c>
      <c r="C60" t="s">
        <v>99</v>
      </c>
      <c r="D60" t="s">
        <v>233</v>
      </c>
      <c r="E60">
        <v>91</v>
      </c>
      <c r="F60">
        <v>59</v>
      </c>
      <c r="G60">
        <v>49</v>
      </c>
      <c r="H60" s="1">
        <v>6</v>
      </c>
      <c r="I60" s="2">
        <v>45387</v>
      </c>
      <c r="J60" t="s">
        <v>234</v>
      </c>
      <c r="K60">
        <v>30</v>
      </c>
      <c r="L60" t="str">
        <f>IF(Table1[[#This Row],[Sales_Volume]]&gt;Table1[[#This Row],[Stock_Quantity]],"Pending","Fulfilled")</f>
        <v>Fulfilled</v>
      </c>
      <c r="M60">
        <v>8</v>
      </c>
      <c r="N60">
        <v>63</v>
      </c>
      <c r="O60" t="str">
        <f>IF(Table1[[#This Row],[Stock_Quantity]]&lt;=Table1[[#This Row],[Reorder_Level]],"Reoeder required","Sufficient")</f>
        <v>Sufficient</v>
      </c>
      <c r="P60" t="str">
        <f>IF(Table1[[#This Row],[Stock_Quantity]]=0,"Out of stock","Available")</f>
        <v>Available</v>
      </c>
    </row>
    <row r="61" spans="1:16" x14ac:dyDescent="0.3">
      <c r="A61" t="s">
        <v>235</v>
      </c>
      <c r="B61" t="s">
        <v>142</v>
      </c>
      <c r="C61" t="s">
        <v>40</v>
      </c>
      <c r="D61" t="s">
        <v>236</v>
      </c>
      <c r="E61">
        <v>28</v>
      </c>
      <c r="F61">
        <v>17</v>
      </c>
      <c r="G61">
        <v>28</v>
      </c>
      <c r="H61" s="1">
        <v>6</v>
      </c>
      <c r="I61" s="2">
        <v>45524</v>
      </c>
      <c r="J61" t="s">
        <v>237</v>
      </c>
      <c r="K61">
        <v>38</v>
      </c>
      <c r="L61" t="str">
        <f>IF(Table1[[#This Row],[Sales_Volume]]&gt;Table1[[#This Row],[Stock_Quantity]],"Pending","Fulfilled")</f>
        <v>Pending</v>
      </c>
      <c r="M61">
        <v>6</v>
      </c>
      <c r="N61">
        <v>25</v>
      </c>
      <c r="O61" t="str">
        <f>IF(Table1[[#This Row],[Stock_Quantity]]&lt;=Table1[[#This Row],[Reorder_Level]],"Reoeder required","Sufficient")</f>
        <v>Sufficient</v>
      </c>
      <c r="P61" t="str">
        <f>IF(Table1[[#This Row],[Stock_Quantity]]=0,"Out of stock","Available")</f>
        <v>Available</v>
      </c>
    </row>
    <row r="62" spans="1:16" x14ac:dyDescent="0.3">
      <c r="A62" t="s">
        <v>238</v>
      </c>
      <c r="B62" t="s">
        <v>239</v>
      </c>
      <c r="C62" t="s">
        <v>31</v>
      </c>
      <c r="D62" t="s">
        <v>240</v>
      </c>
      <c r="E62">
        <v>51</v>
      </c>
      <c r="F62">
        <v>60</v>
      </c>
      <c r="G62">
        <v>98</v>
      </c>
      <c r="H62" s="1">
        <v>1.5</v>
      </c>
      <c r="I62" s="2">
        <v>45638</v>
      </c>
      <c r="J62" t="s">
        <v>241</v>
      </c>
      <c r="K62">
        <v>44</v>
      </c>
      <c r="L62" t="str">
        <f>IF(Table1[[#This Row],[Sales_Volume]]&gt;Table1[[#This Row],[Stock_Quantity]],"Pending","Fulfilled")</f>
        <v>Fulfilled</v>
      </c>
      <c r="M62">
        <v>8</v>
      </c>
      <c r="N62">
        <v>95</v>
      </c>
      <c r="O62" t="str">
        <f>IF(Table1[[#This Row],[Stock_Quantity]]&lt;=Table1[[#This Row],[Reorder_Level]],"Reoeder required","Sufficient")</f>
        <v>Reoeder required</v>
      </c>
      <c r="P62" t="str">
        <f>IF(Table1[[#This Row],[Stock_Quantity]]=0,"Out of stock","Available")</f>
        <v>Available</v>
      </c>
    </row>
    <row r="63" spans="1:16" x14ac:dyDescent="0.3">
      <c r="A63" t="s">
        <v>242</v>
      </c>
      <c r="B63" t="s">
        <v>243</v>
      </c>
      <c r="C63" t="s">
        <v>18</v>
      </c>
      <c r="D63" t="s">
        <v>244</v>
      </c>
      <c r="E63">
        <v>46</v>
      </c>
      <c r="F63">
        <v>27</v>
      </c>
      <c r="G63">
        <v>76</v>
      </c>
      <c r="H63" s="1">
        <v>5</v>
      </c>
      <c r="I63" s="2">
        <v>45558</v>
      </c>
      <c r="J63" t="s">
        <v>245</v>
      </c>
      <c r="K63">
        <v>64</v>
      </c>
      <c r="L63" t="str">
        <f>IF(Table1[[#This Row],[Sales_Volume]]&gt;Table1[[#This Row],[Stock_Quantity]],"Pending","Fulfilled")</f>
        <v>Pending</v>
      </c>
      <c r="M63">
        <v>2</v>
      </c>
      <c r="N63">
        <v>96</v>
      </c>
      <c r="O63" t="str">
        <f>IF(Table1[[#This Row],[Stock_Quantity]]&lt;=Table1[[#This Row],[Reorder_Level]],"Reoeder required","Sufficient")</f>
        <v>Sufficient</v>
      </c>
      <c r="P63" t="str">
        <f>IF(Table1[[#This Row],[Stock_Quantity]]=0,"Out of stock","Available")</f>
        <v>Available</v>
      </c>
    </row>
    <row r="64" spans="1:16" x14ac:dyDescent="0.3">
      <c r="A64" t="s">
        <v>246</v>
      </c>
      <c r="B64" t="s">
        <v>130</v>
      </c>
      <c r="C64" t="s">
        <v>31</v>
      </c>
      <c r="D64" t="s">
        <v>247</v>
      </c>
      <c r="E64">
        <v>82</v>
      </c>
      <c r="F64">
        <v>65</v>
      </c>
      <c r="G64">
        <v>69</v>
      </c>
      <c r="H64" s="1">
        <v>4.45</v>
      </c>
      <c r="I64" s="2">
        <v>45608</v>
      </c>
      <c r="J64" t="s">
        <v>248</v>
      </c>
      <c r="K64">
        <v>30</v>
      </c>
      <c r="L64" t="str">
        <f>IF(Table1[[#This Row],[Sales_Volume]]&gt;Table1[[#This Row],[Stock_Quantity]],"Pending","Fulfilled")</f>
        <v>Fulfilled</v>
      </c>
      <c r="M64">
        <v>2</v>
      </c>
      <c r="N64">
        <v>78</v>
      </c>
      <c r="O64" t="str">
        <f>IF(Table1[[#This Row],[Stock_Quantity]]&lt;=Table1[[#This Row],[Reorder_Level]],"Reoeder required","Sufficient")</f>
        <v>Sufficient</v>
      </c>
      <c r="P64" t="str">
        <f>IF(Table1[[#This Row],[Stock_Quantity]]=0,"Out of stock","Available")</f>
        <v>Available</v>
      </c>
    </row>
    <row r="65" spans="1:16" x14ac:dyDescent="0.3">
      <c r="A65" t="s">
        <v>249</v>
      </c>
      <c r="B65" t="s">
        <v>142</v>
      </c>
      <c r="C65" t="s">
        <v>40</v>
      </c>
      <c r="D65" t="s">
        <v>151</v>
      </c>
      <c r="E65">
        <v>100</v>
      </c>
      <c r="F65">
        <v>92</v>
      </c>
      <c r="G65">
        <v>26</v>
      </c>
      <c r="H65" s="1">
        <v>6</v>
      </c>
      <c r="I65" s="2">
        <v>45680</v>
      </c>
      <c r="J65" t="s">
        <v>250</v>
      </c>
      <c r="K65">
        <v>84</v>
      </c>
      <c r="L65" t="str">
        <f>IF(Table1[[#This Row],[Sales_Volume]]&gt;Table1[[#This Row],[Stock_Quantity]],"Pending","Fulfilled")</f>
        <v>Fulfilled</v>
      </c>
      <c r="M65">
        <v>4</v>
      </c>
      <c r="N65">
        <v>9</v>
      </c>
      <c r="O65" t="str">
        <f>IF(Table1[[#This Row],[Stock_Quantity]]&lt;=Table1[[#This Row],[Reorder_Level]],"Reoeder required","Sufficient")</f>
        <v>Sufficient</v>
      </c>
      <c r="P65" t="str">
        <f>IF(Table1[[#This Row],[Stock_Quantity]]=0,"Out of stock","Available")</f>
        <v>Available</v>
      </c>
    </row>
    <row r="66" spans="1:16" x14ac:dyDescent="0.3">
      <c r="A66" t="s">
        <v>251</v>
      </c>
      <c r="B66" t="s">
        <v>252</v>
      </c>
      <c r="C66" t="s">
        <v>45</v>
      </c>
      <c r="D66" t="s">
        <v>253</v>
      </c>
      <c r="E66">
        <v>51</v>
      </c>
      <c r="F66">
        <v>53</v>
      </c>
      <c r="G66">
        <v>88</v>
      </c>
      <c r="H66" s="1">
        <v>6</v>
      </c>
      <c r="I66" s="2">
        <v>45473</v>
      </c>
      <c r="J66" t="s">
        <v>254</v>
      </c>
      <c r="K66">
        <v>54</v>
      </c>
      <c r="L66" t="str">
        <f>IF(Table1[[#This Row],[Sales_Volume]]&gt;Table1[[#This Row],[Stock_Quantity]],"Pending","Fulfilled")</f>
        <v>Pending</v>
      </c>
      <c r="M66">
        <v>4</v>
      </c>
      <c r="N66">
        <v>59</v>
      </c>
      <c r="O66" t="str">
        <f>IF(Table1[[#This Row],[Stock_Quantity]]&lt;=Table1[[#This Row],[Reorder_Level]],"Reoeder required","Sufficient")</f>
        <v>Reoeder required</v>
      </c>
      <c r="P66" t="str">
        <f>IF(Table1[[#This Row],[Stock_Quantity]]=0,"Out of stock","Available")</f>
        <v>Available</v>
      </c>
    </row>
    <row r="67" spans="1:16" x14ac:dyDescent="0.3">
      <c r="A67" t="s">
        <v>255</v>
      </c>
      <c r="B67" t="s">
        <v>180</v>
      </c>
      <c r="C67" t="s">
        <v>18</v>
      </c>
      <c r="D67" t="s">
        <v>161</v>
      </c>
      <c r="E67">
        <v>61</v>
      </c>
      <c r="F67">
        <v>43</v>
      </c>
      <c r="G67">
        <v>29</v>
      </c>
      <c r="H67" s="1">
        <v>15</v>
      </c>
      <c r="I67" s="2">
        <v>45590</v>
      </c>
      <c r="J67" t="s">
        <v>256</v>
      </c>
      <c r="K67">
        <v>67</v>
      </c>
      <c r="L67" t="str">
        <f>IF(Table1[[#This Row],[Sales_Volume]]&gt;Table1[[#This Row],[Stock_Quantity]],"Pending","Fulfilled")</f>
        <v>Pending</v>
      </c>
      <c r="M67">
        <v>6</v>
      </c>
      <c r="N67">
        <v>6</v>
      </c>
      <c r="O67" t="str">
        <f>IF(Table1[[#This Row],[Stock_Quantity]]&lt;=Table1[[#This Row],[Reorder_Level]],"Reoeder required","Sufficient")</f>
        <v>Sufficient</v>
      </c>
      <c r="P67" t="str">
        <f>IF(Table1[[#This Row],[Stock_Quantity]]=0,"Out of stock","Available")</f>
        <v>Available</v>
      </c>
    </row>
    <row r="68" spans="1:16" x14ac:dyDescent="0.3">
      <c r="A68" t="s">
        <v>257</v>
      </c>
      <c r="B68" t="s">
        <v>258</v>
      </c>
      <c r="C68" t="s">
        <v>18</v>
      </c>
      <c r="D68" t="s">
        <v>259</v>
      </c>
      <c r="E68">
        <v>99</v>
      </c>
      <c r="F68">
        <v>87</v>
      </c>
      <c r="G68">
        <v>10</v>
      </c>
      <c r="H68" s="1">
        <v>25</v>
      </c>
      <c r="I68" s="2">
        <v>45351</v>
      </c>
      <c r="J68" t="s">
        <v>260</v>
      </c>
      <c r="K68">
        <v>93</v>
      </c>
      <c r="L68" t="str">
        <f>IF(Table1[[#This Row],[Sales_Volume]]&gt;Table1[[#This Row],[Stock_Quantity]],"Pending","Fulfilled")</f>
        <v>Fulfilled</v>
      </c>
      <c r="M68">
        <v>4</v>
      </c>
      <c r="N68">
        <v>70</v>
      </c>
      <c r="O68" t="str">
        <f>IF(Table1[[#This Row],[Stock_Quantity]]&lt;=Table1[[#This Row],[Reorder_Level]],"Reoeder required","Sufficient")</f>
        <v>Sufficient</v>
      </c>
      <c r="P68" t="str">
        <f>IF(Table1[[#This Row],[Stock_Quantity]]=0,"Out of stock","Available")</f>
        <v>Available</v>
      </c>
    </row>
    <row r="69" spans="1:16" x14ac:dyDescent="0.3">
      <c r="A69" t="s">
        <v>261</v>
      </c>
      <c r="B69" t="s">
        <v>134</v>
      </c>
      <c r="C69" t="s">
        <v>31</v>
      </c>
      <c r="D69" t="s">
        <v>104</v>
      </c>
      <c r="E69">
        <v>13</v>
      </c>
      <c r="F69">
        <v>60</v>
      </c>
      <c r="G69">
        <v>100</v>
      </c>
      <c r="H69" s="1">
        <v>1.8</v>
      </c>
      <c r="I69" s="2">
        <v>45673</v>
      </c>
      <c r="J69" t="s">
        <v>262</v>
      </c>
      <c r="K69">
        <v>44</v>
      </c>
      <c r="L69" t="str">
        <f>IF(Table1[[#This Row],[Sales_Volume]]&gt;Table1[[#This Row],[Stock_Quantity]],"Pending","Fulfilled")</f>
        <v>Pending</v>
      </c>
      <c r="M69">
        <v>2</v>
      </c>
      <c r="N69">
        <v>32</v>
      </c>
      <c r="O69" t="str">
        <f>IF(Table1[[#This Row],[Stock_Quantity]]&lt;=Table1[[#This Row],[Reorder_Level]],"Reoeder required","Sufficient")</f>
        <v>Reoeder required</v>
      </c>
      <c r="P69" t="str">
        <f>IF(Table1[[#This Row],[Stock_Quantity]]=0,"Out of stock","Available")</f>
        <v>Available</v>
      </c>
    </row>
    <row r="70" spans="1:16" x14ac:dyDescent="0.3">
      <c r="A70" t="s">
        <v>263</v>
      </c>
      <c r="B70" t="s">
        <v>264</v>
      </c>
      <c r="C70" t="s">
        <v>45</v>
      </c>
      <c r="D70" t="s">
        <v>265</v>
      </c>
      <c r="E70">
        <v>45</v>
      </c>
      <c r="F70">
        <v>63</v>
      </c>
      <c r="G70">
        <v>75</v>
      </c>
      <c r="H70" s="1">
        <v>7</v>
      </c>
      <c r="I70" s="2">
        <v>45616</v>
      </c>
      <c r="J70" t="s">
        <v>266</v>
      </c>
      <c r="K70">
        <v>83</v>
      </c>
      <c r="L70" t="str">
        <f>IF(Table1[[#This Row],[Sales_Volume]]&gt;Table1[[#This Row],[Stock_Quantity]],"Pending","Fulfilled")</f>
        <v>Pending</v>
      </c>
      <c r="M70">
        <v>7</v>
      </c>
      <c r="N70">
        <v>5</v>
      </c>
      <c r="O70" t="str">
        <f>IF(Table1[[#This Row],[Stock_Quantity]]&lt;=Table1[[#This Row],[Reorder_Level]],"Reoeder required","Sufficient")</f>
        <v>Reoeder required</v>
      </c>
      <c r="P70" t="str">
        <f>IF(Table1[[#This Row],[Stock_Quantity]]=0,"Out of stock","Available")</f>
        <v>Available</v>
      </c>
    </row>
    <row r="71" spans="1:16" x14ac:dyDescent="0.3">
      <c r="A71" t="s">
        <v>267</v>
      </c>
      <c r="B71" t="s">
        <v>268</v>
      </c>
      <c r="C71" t="s">
        <v>31</v>
      </c>
      <c r="D71" t="s">
        <v>269</v>
      </c>
      <c r="E71">
        <v>73</v>
      </c>
      <c r="F71">
        <v>87</v>
      </c>
      <c r="G71">
        <v>46</v>
      </c>
      <c r="H71" s="1">
        <v>4</v>
      </c>
      <c r="I71" s="2">
        <v>45672</v>
      </c>
      <c r="J71" t="s">
        <v>270</v>
      </c>
      <c r="K71">
        <v>47</v>
      </c>
      <c r="L71" t="str">
        <f>IF(Table1[[#This Row],[Sales_Volume]]&gt;Table1[[#This Row],[Stock_Quantity]],"Pending","Fulfilled")</f>
        <v>Fulfilled</v>
      </c>
      <c r="M71">
        <v>3</v>
      </c>
      <c r="N71">
        <v>67</v>
      </c>
      <c r="O71" t="str">
        <f>IF(Table1[[#This Row],[Stock_Quantity]]&lt;=Table1[[#This Row],[Reorder_Level]],"Reoeder required","Sufficient")</f>
        <v>Reoeder required</v>
      </c>
      <c r="P71" t="str">
        <f>IF(Table1[[#This Row],[Stock_Quantity]]=0,"Out of stock","Available")</f>
        <v>Available</v>
      </c>
    </row>
    <row r="72" spans="1:16" x14ac:dyDescent="0.3">
      <c r="A72" t="s">
        <v>271</v>
      </c>
      <c r="B72" t="s">
        <v>272</v>
      </c>
      <c r="C72" t="s">
        <v>31</v>
      </c>
      <c r="D72" t="s">
        <v>273</v>
      </c>
      <c r="E72">
        <v>39</v>
      </c>
      <c r="F72">
        <v>21</v>
      </c>
      <c r="G72">
        <v>5</v>
      </c>
      <c r="H72" s="1">
        <v>3</v>
      </c>
      <c r="I72" s="2">
        <v>45413</v>
      </c>
      <c r="J72" t="s">
        <v>274</v>
      </c>
      <c r="K72">
        <v>51</v>
      </c>
      <c r="L72" t="str">
        <f>IF(Table1[[#This Row],[Sales_Volume]]&gt;Table1[[#This Row],[Stock_Quantity]],"Pending","Fulfilled")</f>
        <v>Pending</v>
      </c>
      <c r="M72">
        <v>3</v>
      </c>
      <c r="N72">
        <v>98</v>
      </c>
      <c r="O72" t="str">
        <f>IF(Table1[[#This Row],[Stock_Quantity]]&lt;=Table1[[#This Row],[Reorder_Level]],"Reoeder required","Sufficient")</f>
        <v>Sufficient</v>
      </c>
      <c r="P72" t="str">
        <f>IF(Table1[[#This Row],[Stock_Quantity]]=0,"Out of stock","Available")</f>
        <v>Available</v>
      </c>
    </row>
    <row r="73" spans="1:16" x14ac:dyDescent="0.3">
      <c r="A73" t="s">
        <v>275</v>
      </c>
      <c r="B73" t="s">
        <v>98</v>
      </c>
      <c r="C73" t="s">
        <v>99</v>
      </c>
      <c r="D73" t="s">
        <v>276</v>
      </c>
      <c r="E73">
        <v>29</v>
      </c>
      <c r="F73">
        <v>72</v>
      </c>
      <c r="G73">
        <v>96</v>
      </c>
      <c r="H73" s="1">
        <v>12</v>
      </c>
      <c r="I73" s="2">
        <v>45622</v>
      </c>
      <c r="J73" t="s">
        <v>277</v>
      </c>
      <c r="K73">
        <v>85</v>
      </c>
      <c r="L73" t="str">
        <f>IF(Table1[[#This Row],[Sales_Volume]]&gt;Table1[[#This Row],[Stock_Quantity]],"Pending","Fulfilled")</f>
        <v>Pending</v>
      </c>
      <c r="M73">
        <v>8</v>
      </c>
      <c r="N73">
        <v>52</v>
      </c>
      <c r="O73" t="str">
        <f>IF(Table1[[#This Row],[Stock_Quantity]]&lt;=Table1[[#This Row],[Reorder_Level]],"Reoeder required","Sufficient")</f>
        <v>Reoeder required</v>
      </c>
      <c r="P73" t="str">
        <f>IF(Table1[[#This Row],[Stock_Quantity]]=0,"Out of stock","Available")</f>
        <v>Available</v>
      </c>
    </row>
    <row r="74" spans="1:16" x14ac:dyDescent="0.3">
      <c r="A74" t="s">
        <v>278</v>
      </c>
      <c r="B74" t="s">
        <v>279</v>
      </c>
      <c r="C74" t="s">
        <v>45</v>
      </c>
      <c r="D74" t="s">
        <v>280</v>
      </c>
      <c r="E74">
        <v>12</v>
      </c>
      <c r="F74">
        <v>60</v>
      </c>
      <c r="G74">
        <v>73</v>
      </c>
      <c r="H74" s="1">
        <v>4</v>
      </c>
      <c r="I74" s="2">
        <v>45367</v>
      </c>
      <c r="J74" t="s">
        <v>281</v>
      </c>
      <c r="K74">
        <v>20</v>
      </c>
      <c r="L74" t="str">
        <f>IF(Table1[[#This Row],[Sales_Volume]]&gt;Table1[[#This Row],[Stock_Quantity]],"Pending","Fulfilled")</f>
        <v>Pending</v>
      </c>
      <c r="M74">
        <v>3</v>
      </c>
      <c r="N74">
        <v>35</v>
      </c>
      <c r="O74" t="str">
        <f>IF(Table1[[#This Row],[Stock_Quantity]]&lt;=Table1[[#This Row],[Reorder_Level]],"Reoeder required","Sufficient")</f>
        <v>Reoeder required</v>
      </c>
      <c r="P74" t="str">
        <f>IF(Table1[[#This Row],[Stock_Quantity]]=0,"Out of stock","Available")</f>
        <v>Available</v>
      </c>
    </row>
    <row r="75" spans="1:16" x14ac:dyDescent="0.3">
      <c r="A75" t="s">
        <v>282</v>
      </c>
      <c r="B75" t="s">
        <v>283</v>
      </c>
      <c r="C75" t="s">
        <v>31</v>
      </c>
      <c r="D75" t="s">
        <v>284</v>
      </c>
      <c r="E75">
        <v>96</v>
      </c>
      <c r="F75">
        <v>33</v>
      </c>
      <c r="G75">
        <v>72</v>
      </c>
      <c r="H75" s="1">
        <v>4.45</v>
      </c>
      <c r="I75" s="2">
        <v>45428</v>
      </c>
      <c r="J75" t="s">
        <v>285</v>
      </c>
      <c r="K75">
        <v>74</v>
      </c>
      <c r="L75" t="str">
        <f>IF(Table1[[#This Row],[Sales_Volume]]&gt;Table1[[#This Row],[Stock_Quantity]],"Pending","Fulfilled")</f>
        <v>Fulfilled</v>
      </c>
      <c r="M75">
        <v>3</v>
      </c>
      <c r="N75">
        <v>100</v>
      </c>
      <c r="O75" t="str">
        <f>IF(Table1[[#This Row],[Stock_Quantity]]&lt;=Table1[[#This Row],[Reorder_Level]],"Reoeder required","Sufficient")</f>
        <v>Sufficient</v>
      </c>
      <c r="P75" t="str">
        <f>IF(Table1[[#This Row],[Stock_Quantity]]=0,"Out of stock","Available")</f>
        <v>Available</v>
      </c>
    </row>
    <row r="76" spans="1:16" x14ac:dyDescent="0.3">
      <c r="A76" t="s">
        <v>286</v>
      </c>
      <c r="B76" t="s">
        <v>154</v>
      </c>
      <c r="C76" t="s">
        <v>31</v>
      </c>
      <c r="D76" t="s">
        <v>287</v>
      </c>
      <c r="E76">
        <v>35</v>
      </c>
      <c r="F76">
        <v>92</v>
      </c>
      <c r="G76">
        <v>74</v>
      </c>
      <c r="H76" s="1">
        <v>2</v>
      </c>
      <c r="I76" s="2">
        <v>45691</v>
      </c>
      <c r="J76" t="s">
        <v>288</v>
      </c>
      <c r="K76">
        <v>76</v>
      </c>
      <c r="L76" t="str">
        <f>IF(Table1[[#This Row],[Sales_Volume]]&gt;Table1[[#This Row],[Stock_Quantity]],"Pending","Fulfilled")</f>
        <v>Pending</v>
      </c>
      <c r="M76">
        <v>3</v>
      </c>
      <c r="N76">
        <v>32</v>
      </c>
      <c r="O76" t="str">
        <f>IF(Table1[[#This Row],[Stock_Quantity]]&lt;=Table1[[#This Row],[Reorder_Level]],"Reoeder required","Sufficient")</f>
        <v>Reoeder required</v>
      </c>
      <c r="P76" t="str">
        <f>IF(Table1[[#This Row],[Stock_Quantity]]=0,"Out of stock","Available")</f>
        <v>Available</v>
      </c>
    </row>
    <row r="77" spans="1:16" x14ac:dyDescent="0.3">
      <c r="A77" t="s">
        <v>289</v>
      </c>
      <c r="B77" t="s">
        <v>232</v>
      </c>
      <c r="C77" t="s">
        <v>99</v>
      </c>
      <c r="D77" t="s">
        <v>290</v>
      </c>
      <c r="E77">
        <v>89</v>
      </c>
      <c r="F77">
        <v>34</v>
      </c>
      <c r="G77">
        <v>15</v>
      </c>
      <c r="H77" s="1">
        <v>6</v>
      </c>
      <c r="I77" s="2">
        <v>45359</v>
      </c>
      <c r="J77" t="s">
        <v>291</v>
      </c>
      <c r="K77">
        <v>60</v>
      </c>
      <c r="L77" t="str">
        <f>IF(Table1[[#This Row],[Sales_Volume]]&gt;Table1[[#This Row],[Stock_Quantity]],"Pending","Fulfilled")</f>
        <v>Fulfilled</v>
      </c>
      <c r="M77">
        <v>5</v>
      </c>
      <c r="N77">
        <v>2</v>
      </c>
      <c r="O77" t="str">
        <f>IF(Table1[[#This Row],[Stock_Quantity]]&lt;=Table1[[#This Row],[Reorder_Level]],"Reoeder required","Sufficient")</f>
        <v>Sufficient</v>
      </c>
      <c r="P77" t="str">
        <f>IF(Table1[[#This Row],[Stock_Quantity]]=0,"Out of stock","Available")</f>
        <v>Available</v>
      </c>
    </row>
    <row r="78" spans="1:16" x14ac:dyDescent="0.3">
      <c r="A78" t="s">
        <v>292</v>
      </c>
      <c r="B78" t="s">
        <v>172</v>
      </c>
      <c r="C78" t="s">
        <v>31</v>
      </c>
      <c r="D78" t="s">
        <v>293</v>
      </c>
      <c r="E78">
        <v>60</v>
      </c>
      <c r="F78">
        <v>36</v>
      </c>
      <c r="G78">
        <v>28</v>
      </c>
      <c r="H78" s="1">
        <v>4.5</v>
      </c>
      <c r="I78" s="2">
        <v>45553</v>
      </c>
      <c r="J78" t="s">
        <v>294</v>
      </c>
      <c r="K78">
        <v>26</v>
      </c>
      <c r="L78" t="str">
        <f>IF(Table1[[#This Row],[Sales_Volume]]&gt;Table1[[#This Row],[Stock_Quantity]],"Pending","Fulfilled")</f>
        <v>Fulfilled</v>
      </c>
      <c r="M78">
        <v>4</v>
      </c>
      <c r="N78">
        <v>29</v>
      </c>
      <c r="O78" t="str">
        <f>IF(Table1[[#This Row],[Stock_Quantity]]&lt;=Table1[[#This Row],[Reorder_Level]],"Reoeder required","Sufficient")</f>
        <v>Sufficient</v>
      </c>
      <c r="P78" t="str">
        <f>IF(Table1[[#This Row],[Stock_Quantity]]=0,"Out of stock","Available")</f>
        <v>Available</v>
      </c>
    </row>
    <row r="79" spans="1:16" x14ac:dyDescent="0.3">
      <c r="A79" t="s">
        <v>295</v>
      </c>
      <c r="B79" t="s">
        <v>296</v>
      </c>
      <c r="C79" t="s">
        <v>13</v>
      </c>
      <c r="D79" t="s">
        <v>19</v>
      </c>
      <c r="E79">
        <v>20</v>
      </c>
      <c r="F79">
        <v>34</v>
      </c>
      <c r="G79">
        <v>74</v>
      </c>
      <c r="H79" s="1">
        <v>4.5</v>
      </c>
      <c r="I79" s="2">
        <v>45589</v>
      </c>
      <c r="J79" t="s">
        <v>297</v>
      </c>
      <c r="K79">
        <v>50</v>
      </c>
      <c r="L79" t="str">
        <f>IF(Table1[[#This Row],[Sales_Volume]]&gt;Table1[[#This Row],[Stock_Quantity]],"Pending","Fulfilled")</f>
        <v>Pending</v>
      </c>
      <c r="M79">
        <v>4</v>
      </c>
      <c r="N79">
        <v>83</v>
      </c>
      <c r="O79" t="str">
        <f>IF(Table1[[#This Row],[Stock_Quantity]]&lt;=Table1[[#This Row],[Reorder_Level]],"Reoeder required","Sufficient")</f>
        <v>Reoeder required</v>
      </c>
      <c r="P79" t="str">
        <f>IF(Table1[[#This Row],[Stock_Quantity]]=0,"Out of stock","Available")</f>
        <v>Available</v>
      </c>
    </row>
    <row r="80" spans="1:16" x14ac:dyDescent="0.3">
      <c r="A80" t="s">
        <v>298</v>
      </c>
      <c r="B80" t="s">
        <v>299</v>
      </c>
      <c r="C80" t="s">
        <v>31</v>
      </c>
      <c r="D80" t="s">
        <v>284</v>
      </c>
      <c r="E80">
        <v>28</v>
      </c>
      <c r="F80">
        <v>40</v>
      </c>
      <c r="G80">
        <v>27</v>
      </c>
      <c r="H80" s="1">
        <v>1.2</v>
      </c>
      <c r="I80" s="2">
        <v>45502</v>
      </c>
      <c r="J80" t="s">
        <v>300</v>
      </c>
      <c r="K80">
        <v>30</v>
      </c>
      <c r="L80" t="str">
        <f>IF(Table1[[#This Row],[Sales_Volume]]&gt;Table1[[#This Row],[Stock_Quantity]],"Pending","Fulfilled")</f>
        <v>Pending</v>
      </c>
      <c r="M80">
        <v>5</v>
      </c>
      <c r="N80">
        <v>56</v>
      </c>
      <c r="O80" t="str">
        <f>IF(Table1[[#This Row],[Stock_Quantity]]&lt;=Table1[[#This Row],[Reorder_Level]],"Reoeder required","Sufficient")</f>
        <v>Reoeder required</v>
      </c>
      <c r="P80" t="str">
        <f>IF(Table1[[#This Row],[Stock_Quantity]]=0,"Out of stock","Available")</f>
        <v>Available</v>
      </c>
    </row>
    <row r="81" spans="1:16" x14ac:dyDescent="0.3">
      <c r="A81" t="s">
        <v>301</v>
      </c>
      <c r="B81" t="s">
        <v>39</v>
      </c>
      <c r="C81" t="s">
        <v>40</v>
      </c>
      <c r="D81" t="s">
        <v>302</v>
      </c>
      <c r="E81">
        <v>20</v>
      </c>
      <c r="F81">
        <v>55</v>
      </c>
      <c r="G81">
        <v>15</v>
      </c>
      <c r="H81" s="1">
        <v>2.5</v>
      </c>
      <c r="I81" s="2">
        <v>45394</v>
      </c>
      <c r="J81" t="s">
        <v>303</v>
      </c>
      <c r="K81">
        <v>86</v>
      </c>
      <c r="L81" t="str">
        <f>IF(Table1[[#This Row],[Sales_Volume]]&gt;Table1[[#This Row],[Stock_Quantity]],"Pending","Fulfilled")</f>
        <v>Pending</v>
      </c>
      <c r="M81">
        <v>6</v>
      </c>
      <c r="N81">
        <v>61</v>
      </c>
      <c r="O81" t="str">
        <f>IF(Table1[[#This Row],[Stock_Quantity]]&lt;=Table1[[#This Row],[Reorder_Level]],"Reoeder required","Sufficient")</f>
        <v>Reoeder required</v>
      </c>
      <c r="P81" t="str">
        <f>IF(Table1[[#This Row],[Stock_Quantity]]=0,"Out of stock","Available")</f>
        <v>Available</v>
      </c>
    </row>
    <row r="82" spans="1:16" x14ac:dyDescent="0.3">
      <c r="A82" t="s">
        <v>304</v>
      </c>
      <c r="B82" t="s">
        <v>305</v>
      </c>
      <c r="C82" t="s">
        <v>65</v>
      </c>
      <c r="D82" t="s">
        <v>306</v>
      </c>
      <c r="E82">
        <v>38</v>
      </c>
      <c r="F82">
        <v>93</v>
      </c>
      <c r="G82">
        <v>61</v>
      </c>
      <c r="H82" s="1">
        <v>6</v>
      </c>
      <c r="I82" s="2">
        <v>45488</v>
      </c>
      <c r="J82" t="s">
        <v>307</v>
      </c>
      <c r="K82">
        <v>67</v>
      </c>
      <c r="L82" t="str">
        <f>IF(Table1[[#This Row],[Sales_Volume]]&gt;Table1[[#This Row],[Stock_Quantity]],"Pending","Fulfilled")</f>
        <v>Pending</v>
      </c>
      <c r="M82">
        <v>1</v>
      </c>
      <c r="N82">
        <v>100</v>
      </c>
      <c r="O82" t="str">
        <f>IF(Table1[[#This Row],[Stock_Quantity]]&lt;=Table1[[#This Row],[Reorder_Level]],"Reoeder required","Sufficient")</f>
        <v>Reoeder required</v>
      </c>
      <c r="P82" t="str">
        <f>IF(Table1[[#This Row],[Stock_Quantity]]=0,"Out of stock","Available")</f>
        <v>Available</v>
      </c>
    </row>
    <row r="83" spans="1:16" x14ac:dyDescent="0.3">
      <c r="A83" t="s">
        <v>308</v>
      </c>
      <c r="B83" t="s">
        <v>309</v>
      </c>
      <c r="C83" t="s">
        <v>31</v>
      </c>
      <c r="D83" t="s">
        <v>310</v>
      </c>
      <c r="E83">
        <v>99</v>
      </c>
      <c r="F83">
        <v>1</v>
      </c>
      <c r="G83">
        <v>4</v>
      </c>
      <c r="H83" s="1">
        <v>3</v>
      </c>
      <c r="I83" s="2">
        <v>45684</v>
      </c>
      <c r="J83" t="s">
        <v>311</v>
      </c>
      <c r="K83">
        <v>50</v>
      </c>
      <c r="L83" t="str">
        <f>IF(Table1[[#This Row],[Sales_Volume]]&gt;Table1[[#This Row],[Stock_Quantity]],"Pending","Fulfilled")</f>
        <v>Fulfilled</v>
      </c>
      <c r="M83">
        <v>3</v>
      </c>
      <c r="N83">
        <v>53</v>
      </c>
      <c r="O83" t="str">
        <f>IF(Table1[[#This Row],[Stock_Quantity]]&lt;=Table1[[#This Row],[Reorder_Level]],"Reoeder required","Sufficient")</f>
        <v>Sufficient</v>
      </c>
      <c r="P83" t="str">
        <f>IF(Table1[[#This Row],[Stock_Quantity]]=0,"Out of stock","Available")</f>
        <v>Available</v>
      </c>
    </row>
    <row r="84" spans="1:16" x14ac:dyDescent="0.3">
      <c r="A84" t="s">
        <v>312</v>
      </c>
      <c r="B84" t="s">
        <v>313</v>
      </c>
      <c r="C84" t="s">
        <v>45</v>
      </c>
      <c r="D84" t="s">
        <v>314</v>
      </c>
      <c r="E84">
        <v>92</v>
      </c>
      <c r="F84">
        <v>52</v>
      </c>
      <c r="G84">
        <v>80</v>
      </c>
      <c r="H84" s="1">
        <v>2.5</v>
      </c>
      <c r="I84" s="2">
        <v>45587</v>
      </c>
      <c r="J84" t="s">
        <v>315</v>
      </c>
      <c r="K84">
        <v>72</v>
      </c>
      <c r="L84" t="str">
        <f>IF(Table1[[#This Row],[Sales_Volume]]&gt;Table1[[#This Row],[Stock_Quantity]],"Pending","Fulfilled")</f>
        <v>Fulfilled</v>
      </c>
      <c r="M84">
        <v>8</v>
      </c>
      <c r="N84">
        <v>96</v>
      </c>
      <c r="O84" t="str">
        <f>IF(Table1[[#This Row],[Stock_Quantity]]&lt;=Table1[[#This Row],[Reorder_Level]],"Reoeder required","Sufficient")</f>
        <v>Sufficient</v>
      </c>
      <c r="P84" t="str">
        <f>IF(Table1[[#This Row],[Stock_Quantity]]=0,"Out of stock","Available")</f>
        <v>Available</v>
      </c>
    </row>
    <row r="85" spans="1:16" x14ac:dyDescent="0.3">
      <c r="A85" t="s">
        <v>316</v>
      </c>
      <c r="B85" t="s">
        <v>94</v>
      </c>
      <c r="C85" t="s">
        <v>31</v>
      </c>
      <c r="D85" t="s">
        <v>317</v>
      </c>
      <c r="E85">
        <v>41</v>
      </c>
      <c r="F85">
        <v>29</v>
      </c>
      <c r="G85">
        <v>76</v>
      </c>
      <c r="H85" s="1">
        <v>2.4</v>
      </c>
      <c r="I85" s="2">
        <v>45548</v>
      </c>
      <c r="J85" t="s">
        <v>318</v>
      </c>
      <c r="K85">
        <v>59</v>
      </c>
      <c r="L85" t="str">
        <f>IF(Table1[[#This Row],[Sales_Volume]]&gt;Table1[[#This Row],[Stock_Quantity]],"Pending","Fulfilled")</f>
        <v>Pending</v>
      </c>
      <c r="M85">
        <v>7</v>
      </c>
      <c r="N85">
        <v>4</v>
      </c>
      <c r="O85" t="str">
        <f>IF(Table1[[#This Row],[Stock_Quantity]]&lt;=Table1[[#This Row],[Reorder_Level]],"Reoeder required","Sufficient")</f>
        <v>Sufficient</v>
      </c>
      <c r="P85" t="str">
        <f>IF(Table1[[#This Row],[Stock_Quantity]]=0,"Out of stock","Available")</f>
        <v>Available</v>
      </c>
    </row>
    <row r="86" spans="1:16" x14ac:dyDescent="0.3">
      <c r="A86" t="s">
        <v>319</v>
      </c>
      <c r="B86" t="s">
        <v>232</v>
      </c>
      <c r="C86" t="s">
        <v>99</v>
      </c>
      <c r="D86" t="s">
        <v>320</v>
      </c>
      <c r="E86">
        <v>44</v>
      </c>
      <c r="F86">
        <v>67</v>
      </c>
      <c r="G86">
        <v>48</v>
      </c>
      <c r="H86" s="1">
        <v>6</v>
      </c>
      <c r="I86" s="2">
        <v>45556</v>
      </c>
      <c r="J86" t="s">
        <v>321</v>
      </c>
      <c r="K86">
        <v>90</v>
      </c>
      <c r="L86" t="str">
        <f>IF(Table1[[#This Row],[Sales_Volume]]&gt;Table1[[#This Row],[Stock_Quantity]],"Pending","Fulfilled")</f>
        <v>Pending</v>
      </c>
      <c r="M86">
        <v>5</v>
      </c>
      <c r="N86">
        <v>11</v>
      </c>
      <c r="O86" t="str">
        <f>IF(Table1[[#This Row],[Stock_Quantity]]&lt;=Table1[[#This Row],[Reorder_Level]],"Reoeder required","Sufficient")</f>
        <v>Reoeder required</v>
      </c>
      <c r="P86" t="str">
        <f>IF(Table1[[#This Row],[Stock_Quantity]]=0,"Out of stock","Available")</f>
        <v>Available</v>
      </c>
    </row>
    <row r="87" spans="1:16" x14ac:dyDescent="0.3">
      <c r="A87" t="s">
        <v>322</v>
      </c>
      <c r="B87" t="s">
        <v>60</v>
      </c>
      <c r="C87" t="s">
        <v>13</v>
      </c>
      <c r="D87" t="s">
        <v>323</v>
      </c>
      <c r="E87">
        <v>47</v>
      </c>
      <c r="F87">
        <v>7</v>
      </c>
      <c r="G87">
        <v>63</v>
      </c>
      <c r="H87" s="1">
        <v>2</v>
      </c>
      <c r="I87" s="2">
        <v>45555</v>
      </c>
      <c r="J87" t="s">
        <v>324</v>
      </c>
      <c r="K87">
        <v>29</v>
      </c>
      <c r="L87" t="str">
        <f>IF(Table1[[#This Row],[Sales_Volume]]&gt;Table1[[#This Row],[Stock_Quantity]],"Pending","Fulfilled")</f>
        <v>Fulfilled</v>
      </c>
      <c r="M87">
        <v>2</v>
      </c>
      <c r="N87">
        <v>20</v>
      </c>
      <c r="O87" t="str">
        <f>IF(Table1[[#This Row],[Stock_Quantity]]&lt;=Table1[[#This Row],[Reorder_Level]],"Reoeder required","Sufficient")</f>
        <v>Sufficient</v>
      </c>
      <c r="P87" t="str">
        <f>IF(Table1[[#This Row],[Stock_Quantity]]=0,"Out of stock","Available")</f>
        <v>Available</v>
      </c>
    </row>
    <row r="88" spans="1:16" x14ac:dyDescent="0.3">
      <c r="A88" t="s">
        <v>325</v>
      </c>
      <c r="B88" t="s">
        <v>80</v>
      </c>
      <c r="C88" t="s">
        <v>13</v>
      </c>
      <c r="D88" t="s">
        <v>91</v>
      </c>
      <c r="E88">
        <v>21</v>
      </c>
      <c r="F88">
        <v>63</v>
      </c>
      <c r="G88">
        <v>65</v>
      </c>
      <c r="H88" s="1">
        <v>1.5</v>
      </c>
      <c r="I88" s="2">
        <v>45606</v>
      </c>
      <c r="J88" t="s">
        <v>326</v>
      </c>
      <c r="K88">
        <v>38</v>
      </c>
      <c r="L88" t="str">
        <f>IF(Table1[[#This Row],[Sales_Volume]]&gt;Table1[[#This Row],[Stock_Quantity]],"Pending","Fulfilled")</f>
        <v>Pending</v>
      </c>
      <c r="M88">
        <v>1</v>
      </c>
      <c r="N88">
        <v>73</v>
      </c>
      <c r="O88" t="str">
        <f>IF(Table1[[#This Row],[Stock_Quantity]]&lt;=Table1[[#This Row],[Reorder_Level]],"Reoeder required","Sufficient")</f>
        <v>Reoeder required</v>
      </c>
      <c r="P88" t="str">
        <f>IF(Table1[[#This Row],[Stock_Quantity]]=0,"Out of stock","Available")</f>
        <v>Available</v>
      </c>
    </row>
    <row r="89" spans="1:16" x14ac:dyDescent="0.3">
      <c r="A89" t="s">
        <v>327</v>
      </c>
      <c r="B89" t="s">
        <v>134</v>
      </c>
      <c r="C89" t="s">
        <v>31</v>
      </c>
      <c r="D89" t="s">
        <v>328</v>
      </c>
      <c r="E89">
        <v>85</v>
      </c>
      <c r="F89">
        <v>33</v>
      </c>
      <c r="G89">
        <v>50</v>
      </c>
      <c r="H89" s="1">
        <v>1.8</v>
      </c>
      <c r="I89" s="2">
        <v>45488</v>
      </c>
      <c r="J89" t="s">
        <v>329</v>
      </c>
      <c r="K89">
        <v>64</v>
      </c>
      <c r="L89" t="str">
        <f>IF(Table1[[#This Row],[Sales_Volume]]&gt;Table1[[#This Row],[Stock_Quantity]],"Pending","Fulfilled")</f>
        <v>Fulfilled</v>
      </c>
      <c r="M89">
        <v>6</v>
      </c>
      <c r="N89">
        <v>38</v>
      </c>
      <c r="O89" t="str">
        <f>IF(Table1[[#This Row],[Stock_Quantity]]&lt;=Table1[[#This Row],[Reorder_Level]],"Reoeder required","Sufficient")</f>
        <v>Sufficient</v>
      </c>
      <c r="P89" t="str">
        <f>IF(Table1[[#This Row],[Stock_Quantity]]=0,"Out of stock","Available")</f>
        <v>Available</v>
      </c>
    </row>
    <row r="90" spans="1:16" x14ac:dyDescent="0.3">
      <c r="A90" t="s">
        <v>330</v>
      </c>
      <c r="B90" t="s">
        <v>84</v>
      </c>
      <c r="C90" t="s">
        <v>45</v>
      </c>
      <c r="D90" t="s">
        <v>331</v>
      </c>
      <c r="E90">
        <v>29</v>
      </c>
      <c r="F90">
        <v>4</v>
      </c>
      <c r="G90">
        <v>17</v>
      </c>
      <c r="H90" s="1">
        <v>8</v>
      </c>
      <c r="I90" s="2">
        <v>45609</v>
      </c>
      <c r="J90" t="s">
        <v>332</v>
      </c>
      <c r="K90">
        <v>59</v>
      </c>
      <c r="L90" t="str">
        <f>IF(Table1[[#This Row],[Sales_Volume]]&gt;Table1[[#This Row],[Stock_Quantity]],"Pending","Fulfilled")</f>
        <v>Pending</v>
      </c>
      <c r="M90">
        <v>7</v>
      </c>
      <c r="N90">
        <v>52</v>
      </c>
      <c r="O90" t="str">
        <f>IF(Table1[[#This Row],[Stock_Quantity]]&lt;=Table1[[#This Row],[Reorder_Level]],"Reoeder required","Sufficient")</f>
        <v>Sufficient</v>
      </c>
      <c r="P90" t="str">
        <f>IF(Table1[[#This Row],[Stock_Quantity]]=0,"Out of stock","Available")</f>
        <v>Available</v>
      </c>
    </row>
    <row r="91" spans="1:16" x14ac:dyDescent="0.3">
      <c r="A91" t="s">
        <v>333</v>
      </c>
      <c r="B91" t="s">
        <v>334</v>
      </c>
      <c r="C91" t="s">
        <v>40</v>
      </c>
      <c r="D91" t="s">
        <v>335</v>
      </c>
      <c r="E91">
        <v>64</v>
      </c>
      <c r="F91">
        <v>21</v>
      </c>
      <c r="G91">
        <v>13</v>
      </c>
      <c r="H91" s="1">
        <v>4</v>
      </c>
      <c r="I91" s="2">
        <v>45576</v>
      </c>
      <c r="J91" t="s">
        <v>336</v>
      </c>
      <c r="K91">
        <v>51</v>
      </c>
      <c r="L91" t="str">
        <f>IF(Table1[[#This Row],[Sales_Volume]]&gt;Table1[[#This Row],[Stock_Quantity]],"Pending","Fulfilled")</f>
        <v>Fulfilled</v>
      </c>
      <c r="M91">
        <v>7</v>
      </c>
      <c r="N91">
        <v>26</v>
      </c>
      <c r="O91" t="str">
        <f>IF(Table1[[#This Row],[Stock_Quantity]]&lt;=Table1[[#This Row],[Reorder_Level]],"Reoeder required","Sufficient")</f>
        <v>Sufficient</v>
      </c>
      <c r="P91" t="str">
        <f>IF(Table1[[#This Row],[Stock_Quantity]]=0,"Out of stock","Available")</f>
        <v>Available</v>
      </c>
    </row>
    <row r="92" spans="1:16" x14ac:dyDescent="0.3">
      <c r="A92" t="s">
        <v>337</v>
      </c>
      <c r="B92" t="s">
        <v>338</v>
      </c>
      <c r="C92" t="s">
        <v>31</v>
      </c>
      <c r="D92" t="s">
        <v>339</v>
      </c>
      <c r="E92">
        <v>66</v>
      </c>
      <c r="F92">
        <v>40</v>
      </c>
      <c r="G92">
        <v>96</v>
      </c>
      <c r="H92" s="1">
        <v>10</v>
      </c>
      <c r="I92" s="2">
        <v>45465</v>
      </c>
      <c r="J92" t="s">
        <v>340</v>
      </c>
      <c r="K92">
        <v>24</v>
      </c>
      <c r="L92" t="str">
        <f>IF(Table1[[#This Row],[Sales_Volume]]&gt;Table1[[#This Row],[Stock_Quantity]],"Pending","Fulfilled")</f>
        <v>Fulfilled</v>
      </c>
      <c r="M92">
        <v>6</v>
      </c>
      <c r="N92">
        <v>61</v>
      </c>
      <c r="O92" t="str">
        <f>IF(Table1[[#This Row],[Stock_Quantity]]&lt;=Table1[[#This Row],[Reorder_Level]],"Reoeder required","Sufficient")</f>
        <v>Sufficient</v>
      </c>
      <c r="P92" t="str">
        <f>IF(Table1[[#This Row],[Stock_Quantity]]=0,"Out of stock","Available")</f>
        <v>Available</v>
      </c>
    </row>
    <row r="93" spans="1:16" x14ac:dyDescent="0.3">
      <c r="A93" t="s">
        <v>341</v>
      </c>
      <c r="B93" t="s">
        <v>342</v>
      </c>
      <c r="C93" t="s">
        <v>65</v>
      </c>
      <c r="D93" t="s">
        <v>343</v>
      </c>
      <c r="E93">
        <v>75</v>
      </c>
      <c r="F93">
        <v>81</v>
      </c>
      <c r="G93">
        <v>17</v>
      </c>
      <c r="H93" s="1">
        <v>5</v>
      </c>
      <c r="I93" s="2">
        <v>45705</v>
      </c>
      <c r="J93" t="s">
        <v>344</v>
      </c>
      <c r="K93">
        <v>69</v>
      </c>
      <c r="L93" t="str">
        <f>IF(Table1[[#This Row],[Sales_Volume]]&gt;Table1[[#This Row],[Stock_Quantity]],"Pending","Fulfilled")</f>
        <v>Fulfilled</v>
      </c>
      <c r="M93">
        <v>4</v>
      </c>
      <c r="N93">
        <v>38</v>
      </c>
      <c r="O93" t="str">
        <f>IF(Table1[[#This Row],[Stock_Quantity]]&lt;=Table1[[#This Row],[Reorder_Level]],"Reoeder required","Sufficient")</f>
        <v>Reoeder required</v>
      </c>
      <c r="P93" t="str">
        <f>IF(Table1[[#This Row],[Stock_Quantity]]=0,"Out of stock","Available")</f>
        <v>Available</v>
      </c>
    </row>
    <row r="94" spans="1:16" x14ac:dyDescent="0.3">
      <c r="A94" t="s">
        <v>345</v>
      </c>
      <c r="B94" t="s">
        <v>346</v>
      </c>
      <c r="C94" t="s">
        <v>45</v>
      </c>
      <c r="D94" t="s">
        <v>347</v>
      </c>
      <c r="E94">
        <v>53</v>
      </c>
      <c r="F94">
        <v>63</v>
      </c>
      <c r="G94">
        <v>2</v>
      </c>
      <c r="H94" s="1">
        <v>9</v>
      </c>
      <c r="I94" s="2">
        <v>45577</v>
      </c>
      <c r="J94" t="s">
        <v>348</v>
      </c>
      <c r="K94">
        <v>56</v>
      </c>
      <c r="L94" t="str">
        <f>IF(Table1[[#This Row],[Sales_Volume]]&gt;Table1[[#This Row],[Stock_Quantity]],"Pending","Fulfilled")</f>
        <v>Pending</v>
      </c>
      <c r="M94">
        <v>6</v>
      </c>
      <c r="N94">
        <v>95</v>
      </c>
      <c r="O94" t="str">
        <f>IF(Table1[[#This Row],[Stock_Quantity]]&lt;=Table1[[#This Row],[Reorder_Level]],"Reoeder required","Sufficient")</f>
        <v>Reoeder required</v>
      </c>
      <c r="P94" t="str">
        <f>IF(Table1[[#This Row],[Stock_Quantity]]=0,"Out of stock","Available")</f>
        <v>Available</v>
      </c>
    </row>
    <row r="95" spans="1:16" x14ac:dyDescent="0.3">
      <c r="A95" t="s">
        <v>349</v>
      </c>
      <c r="B95" t="s">
        <v>350</v>
      </c>
      <c r="C95" t="s">
        <v>40</v>
      </c>
      <c r="D95" t="s">
        <v>61</v>
      </c>
      <c r="E95">
        <v>43</v>
      </c>
      <c r="F95">
        <v>63</v>
      </c>
      <c r="G95">
        <v>80</v>
      </c>
      <c r="H95" s="1">
        <v>1.8</v>
      </c>
      <c r="I95" s="2">
        <v>45504</v>
      </c>
      <c r="J95" t="s">
        <v>351</v>
      </c>
      <c r="K95">
        <v>33</v>
      </c>
      <c r="L95" t="str">
        <f>IF(Table1[[#This Row],[Sales_Volume]]&gt;Table1[[#This Row],[Stock_Quantity]],"Pending","Fulfilled")</f>
        <v>Fulfilled</v>
      </c>
      <c r="M95">
        <v>6</v>
      </c>
      <c r="N95">
        <v>96</v>
      </c>
      <c r="O95" t="str">
        <f>IF(Table1[[#This Row],[Stock_Quantity]]&lt;=Table1[[#This Row],[Reorder_Level]],"Reoeder required","Sufficient")</f>
        <v>Reoeder required</v>
      </c>
      <c r="P95" t="str">
        <f>IF(Table1[[#This Row],[Stock_Quantity]]=0,"Out of stock","Available")</f>
        <v>Available</v>
      </c>
    </row>
    <row r="96" spans="1:16" x14ac:dyDescent="0.3">
      <c r="A96" t="s">
        <v>352</v>
      </c>
      <c r="B96" t="s">
        <v>272</v>
      </c>
      <c r="C96" t="s">
        <v>31</v>
      </c>
      <c r="D96" t="s">
        <v>353</v>
      </c>
      <c r="E96">
        <v>74</v>
      </c>
      <c r="F96">
        <v>30</v>
      </c>
      <c r="G96">
        <v>24</v>
      </c>
      <c r="H96" s="1">
        <v>3</v>
      </c>
      <c r="I96" s="2">
        <v>45578</v>
      </c>
      <c r="J96" t="s">
        <v>354</v>
      </c>
      <c r="K96">
        <v>82</v>
      </c>
      <c r="L96" t="str">
        <f>IF(Table1[[#This Row],[Sales_Volume]]&gt;Table1[[#This Row],[Stock_Quantity]],"Pending","Fulfilled")</f>
        <v>Pending</v>
      </c>
      <c r="M96">
        <v>4</v>
      </c>
      <c r="N96">
        <v>12</v>
      </c>
      <c r="O96" t="str">
        <f>IF(Table1[[#This Row],[Stock_Quantity]]&lt;=Table1[[#This Row],[Reorder_Level]],"Reoeder required","Sufficient")</f>
        <v>Sufficient</v>
      </c>
      <c r="P96" t="str">
        <f>IF(Table1[[#This Row],[Stock_Quantity]]=0,"Out of stock","Available")</f>
        <v>Available</v>
      </c>
    </row>
    <row r="97" spans="1:16" x14ac:dyDescent="0.3">
      <c r="A97" t="s">
        <v>355</v>
      </c>
      <c r="B97" t="s">
        <v>356</v>
      </c>
      <c r="C97" t="s">
        <v>31</v>
      </c>
      <c r="D97" t="s">
        <v>208</v>
      </c>
      <c r="E97">
        <v>27</v>
      </c>
      <c r="F97">
        <v>22</v>
      </c>
      <c r="G97">
        <v>89</v>
      </c>
      <c r="H97" s="1">
        <v>7</v>
      </c>
      <c r="I97" s="2">
        <v>45501</v>
      </c>
      <c r="J97" t="s">
        <v>357</v>
      </c>
      <c r="K97">
        <v>91</v>
      </c>
      <c r="L97" t="str">
        <f>IF(Table1[[#This Row],[Sales_Volume]]&gt;Table1[[#This Row],[Stock_Quantity]],"Pending","Fulfilled")</f>
        <v>Pending</v>
      </c>
      <c r="M97">
        <v>5</v>
      </c>
      <c r="N97">
        <v>77</v>
      </c>
      <c r="O97" t="str">
        <f>IF(Table1[[#This Row],[Stock_Quantity]]&lt;=Table1[[#This Row],[Reorder_Level]],"Reoeder required","Sufficient")</f>
        <v>Sufficient</v>
      </c>
      <c r="P97" t="str">
        <f>IF(Table1[[#This Row],[Stock_Quantity]]=0,"Out of stock","Available")</f>
        <v>Available</v>
      </c>
    </row>
    <row r="98" spans="1:16" x14ac:dyDescent="0.3">
      <c r="A98" t="s">
        <v>358</v>
      </c>
      <c r="B98" t="s">
        <v>359</v>
      </c>
      <c r="C98" t="s">
        <v>13</v>
      </c>
      <c r="D98" t="s">
        <v>360</v>
      </c>
      <c r="E98">
        <v>91</v>
      </c>
      <c r="F98">
        <v>73</v>
      </c>
      <c r="G98">
        <v>77</v>
      </c>
      <c r="H98" s="1">
        <v>4.75</v>
      </c>
      <c r="I98" s="2">
        <v>45528</v>
      </c>
      <c r="J98" t="s">
        <v>361</v>
      </c>
      <c r="K98">
        <v>51</v>
      </c>
      <c r="L98" t="str">
        <f>IF(Table1[[#This Row],[Sales_Volume]]&gt;Table1[[#This Row],[Stock_Quantity]],"Pending","Fulfilled")</f>
        <v>Fulfilled</v>
      </c>
      <c r="M98">
        <v>2</v>
      </c>
      <c r="N98">
        <v>49</v>
      </c>
      <c r="O98" t="str">
        <f>IF(Table1[[#This Row],[Stock_Quantity]]&lt;=Table1[[#This Row],[Reorder_Level]],"Reoeder required","Sufficient")</f>
        <v>Sufficient</v>
      </c>
      <c r="P98" t="str">
        <f>IF(Table1[[#This Row],[Stock_Quantity]]=0,"Out of stock","Available")</f>
        <v>Available</v>
      </c>
    </row>
    <row r="99" spans="1:16" x14ac:dyDescent="0.3">
      <c r="A99" t="s">
        <v>362</v>
      </c>
      <c r="B99" t="s">
        <v>363</v>
      </c>
      <c r="C99" t="s">
        <v>13</v>
      </c>
      <c r="D99" t="s">
        <v>81</v>
      </c>
      <c r="E99">
        <v>52</v>
      </c>
      <c r="F99">
        <v>81</v>
      </c>
      <c r="G99">
        <v>53</v>
      </c>
      <c r="H99" s="1">
        <v>2</v>
      </c>
      <c r="I99" s="2">
        <v>45623</v>
      </c>
      <c r="J99" t="s">
        <v>364</v>
      </c>
      <c r="K99">
        <v>95</v>
      </c>
      <c r="L99" t="str">
        <f>IF(Table1[[#This Row],[Sales_Volume]]&gt;Table1[[#This Row],[Stock_Quantity]],"Pending","Fulfilled")</f>
        <v>Pending</v>
      </c>
      <c r="M99">
        <v>8</v>
      </c>
      <c r="N99">
        <v>88</v>
      </c>
      <c r="O99" t="str">
        <f>IF(Table1[[#This Row],[Stock_Quantity]]&lt;=Table1[[#This Row],[Reorder_Level]],"Reoeder required","Sufficient")</f>
        <v>Reoeder required</v>
      </c>
      <c r="P99" t="str">
        <f>IF(Table1[[#This Row],[Stock_Quantity]]=0,"Out of stock","Available")</f>
        <v>Available</v>
      </c>
    </row>
    <row r="100" spans="1:16" x14ac:dyDescent="0.3">
      <c r="A100" t="s">
        <v>365</v>
      </c>
      <c r="B100" t="s">
        <v>164</v>
      </c>
      <c r="C100" t="s">
        <v>31</v>
      </c>
      <c r="D100" t="s">
        <v>366</v>
      </c>
      <c r="E100">
        <v>43</v>
      </c>
      <c r="F100">
        <v>66</v>
      </c>
      <c r="G100">
        <v>85</v>
      </c>
      <c r="H100" s="1">
        <v>2.5</v>
      </c>
      <c r="I100" s="2">
        <v>45549</v>
      </c>
      <c r="J100" t="s">
        <v>367</v>
      </c>
      <c r="K100">
        <v>66</v>
      </c>
      <c r="L100" t="str">
        <f>IF(Table1[[#This Row],[Sales_Volume]]&gt;Table1[[#This Row],[Stock_Quantity]],"Pending","Fulfilled")</f>
        <v>Pending</v>
      </c>
      <c r="M100">
        <v>1</v>
      </c>
      <c r="N100">
        <v>65</v>
      </c>
      <c r="O100" t="str">
        <f>IF(Table1[[#This Row],[Stock_Quantity]]&lt;=Table1[[#This Row],[Reorder_Level]],"Reoeder required","Sufficient")</f>
        <v>Reoeder required</v>
      </c>
      <c r="P100" t="str">
        <f>IF(Table1[[#This Row],[Stock_Quantity]]=0,"Out of stock","Available")</f>
        <v>Available</v>
      </c>
    </row>
    <row r="101" spans="1:16" x14ac:dyDescent="0.3">
      <c r="A101" t="s">
        <v>368</v>
      </c>
      <c r="B101" t="s">
        <v>187</v>
      </c>
      <c r="C101" t="s">
        <v>65</v>
      </c>
      <c r="D101" t="s">
        <v>369</v>
      </c>
      <c r="E101">
        <v>56</v>
      </c>
      <c r="F101">
        <v>86</v>
      </c>
      <c r="G101">
        <v>23</v>
      </c>
      <c r="H101" s="1">
        <v>3.2</v>
      </c>
      <c r="I101" s="2">
        <v>45411</v>
      </c>
      <c r="J101" t="s">
        <v>370</v>
      </c>
      <c r="K101">
        <v>67</v>
      </c>
      <c r="L101" t="str">
        <f>IF(Table1[[#This Row],[Sales_Volume]]&gt;Table1[[#This Row],[Stock_Quantity]],"Pending","Fulfilled")</f>
        <v>Pending</v>
      </c>
      <c r="M101">
        <v>7</v>
      </c>
      <c r="N101">
        <v>56</v>
      </c>
      <c r="O101" t="str">
        <f>IF(Table1[[#This Row],[Stock_Quantity]]&lt;=Table1[[#This Row],[Reorder_Level]],"Reoeder required","Sufficient")</f>
        <v>Reoeder required</v>
      </c>
      <c r="P101" t="str">
        <f>IF(Table1[[#This Row],[Stock_Quantity]]=0,"Out of stock","Available")</f>
        <v>Available</v>
      </c>
    </row>
    <row r="102" spans="1:16" x14ac:dyDescent="0.3">
      <c r="A102" t="s">
        <v>371</v>
      </c>
      <c r="B102" t="s">
        <v>252</v>
      </c>
      <c r="C102" t="s">
        <v>45</v>
      </c>
      <c r="D102" t="s">
        <v>372</v>
      </c>
      <c r="E102">
        <v>66</v>
      </c>
      <c r="F102">
        <v>40</v>
      </c>
      <c r="G102">
        <v>8</v>
      </c>
      <c r="H102" s="1">
        <v>6</v>
      </c>
      <c r="I102" s="2">
        <v>45675</v>
      </c>
      <c r="J102" t="s">
        <v>373</v>
      </c>
      <c r="K102">
        <v>43</v>
      </c>
      <c r="L102" t="str">
        <f>IF(Table1[[#This Row],[Sales_Volume]]&gt;Table1[[#This Row],[Stock_Quantity]],"Pending","Fulfilled")</f>
        <v>Fulfilled</v>
      </c>
      <c r="M102">
        <v>2</v>
      </c>
      <c r="N102">
        <v>49</v>
      </c>
      <c r="O102" t="str">
        <f>IF(Table1[[#This Row],[Stock_Quantity]]&lt;=Table1[[#This Row],[Reorder_Level]],"Reoeder required","Sufficient")</f>
        <v>Sufficient</v>
      </c>
      <c r="P102" t="str">
        <f>IF(Table1[[#This Row],[Stock_Quantity]]=0,"Out of stock","Available")</f>
        <v>Available</v>
      </c>
    </row>
    <row r="103" spans="1:16" x14ac:dyDescent="0.3">
      <c r="A103" t="s">
        <v>374</v>
      </c>
      <c r="B103" t="s">
        <v>80</v>
      </c>
      <c r="C103" t="s">
        <v>13</v>
      </c>
      <c r="D103" t="s">
        <v>375</v>
      </c>
      <c r="E103">
        <v>84</v>
      </c>
      <c r="F103">
        <v>92</v>
      </c>
      <c r="G103">
        <v>18</v>
      </c>
      <c r="H103" s="1">
        <v>1.5</v>
      </c>
      <c r="I103" s="2">
        <v>45655</v>
      </c>
      <c r="J103" t="s">
        <v>376</v>
      </c>
      <c r="K103">
        <v>92</v>
      </c>
      <c r="L103" t="str">
        <f>IF(Table1[[#This Row],[Sales_Volume]]&gt;Table1[[#This Row],[Stock_Quantity]],"Pending","Fulfilled")</f>
        <v>Pending</v>
      </c>
      <c r="M103">
        <v>5</v>
      </c>
      <c r="N103">
        <v>69</v>
      </c>
      <c r="O103" t="str">
        <f>IF(Table1[[#This Row],[Stock_Quantity]]&lt;=Table1[[#This Row],[Reorder_Level]],"Reoeder required","Sufficient")</f>
        <v>Reoeder required</v>
      </c>
      <c r="P103" t="str">
        <f>IF(Table1[[#This Row],[Stock_Quantity]]=0,"Out of stock","Available")</f>
        <v>Available</v>
      </c>
    </row>
    <row r="104" spans="1:16" x14ac:dyDescent="0.3">
      <c r="A104" t="s">
        <v>377</v>
      </c>
      <c r="B104" t="s">
        <v>378</v>
      </c>
      <c r="C104" t="s">
        <v>45</v>
      </c>
      <c r="D104" t="s">
        <v>151</v>
      </c>
      <c r="E104">
        <v>37</v>
      </c>
      <c r="F104">
        <v>5</v>
      </c>
      <c r="G104">
        <v>1</v>
      </c>
      <c r="H104" s="1">
        <v>5</v>
      </c>
      <c r="I104" s="2">
        <v>45348</v>
      </c>
      <c r="J104" t="s">
        <v>379</v>
      </c>
      <c r="K104">
        <v>68</v>
      </c>
      <c r="L104" t="str">
        <f>IF(Table1[[#This Row],[Sales_Volume]]&gt;Table1[[#This Row],[Stock_Quantity]],"Pending","Fulfilled")</f>
        <v>Pending</v>
      </c>
      <c r="M104">
        <v>8</v>
      </c>
      <c r="N104">
        <v>99</v>
      </c>
      <c r="O104" t="str">
        <f>IF(Table1[[#This Row],[Stock_Quantity]]&lt;=Table1[[#This Row],[Reorder_Level]],"Reoeder required","Sufficient")</f>
        <v>Sufficient</v>
      </c>
      <c r="P104" t="str">
        <f>IF(Table1[[#This Row],[Stock_Quantity]]=0,"Out of stock","Available")</f>
        <v>Available</v>
      </c>
    </row>
    <row r="105" spans="1:16" x14ac:dyDescent="0.3">
      <c r="A105" t="s">
        <v>380</v>
      </c>
      <c r="B105" t="s">
        <v>381</v>
      </c>
      <c r="C105" t="s">
        <v>45</v>
      </c>
      <c r="D105" t="s">
        <v>382</v>
      </c>
      <c r="E105">
        <v>29</v>
      </c>
      <c r="F105">
        <v>36</v>
      </c>
      <c r="G105">
        <v>40</v>
      </c>
      <c r="H105" s="1">
        <v>4</v>
      </c>
      <c r="I105" s="2">
        <v>45381</v>
      </c>
      <c r="J105" t="s">
        <v>383</v>
      </c>
      <c r="K105">
        <v>60</v>
      </c>
      <c r="L105" t="str">
        <f>IF(Table1[[#This Row],[Sales_Volume]]&gt;Table1[[#This Row],[Stock_Quantity]],"Pending","Fulfilled")</f>
        <v>Pending</v>
      </c>
      <c r="M105">
        <v>2</v>
      </c>
      <c r="N105">
        <v>96</v>
      </c>
      <c r="O105" t="str">
        <f>IF(Table1[[#This Row],[Stock_Quantity]]&lt;=Table1[[#This Row],[Reorder_Level]],"Reoeder required","Sufficient")</f>
        <v>Reoeder required</v>
      </c>
      <c r="P105" t="str">
        <f>IF(Table1[[#This Row],[Stock_Quantity]]=0,"Out of stock","Available")</f>
        <v>Available</v>
      </c>
    </row>
    <row r="106" spans="1:16" x14ac:dyDescent="0.3">
      <c r="A106" t="s">
        <v>384</v>
      </c>
      <c r="B106" t="s">
        <v>385</v>
      </c>
      <c r="C106" t="s">
        <v>13</v>
      </c>
      <c r="D106" t="s">
        <v>135</v>
      </c>
      <c r="E106">
        <v>13</v>
      </c>
      <c r="F106">
        <v>88</v>
      </c>
      <c r="G106">
        <v>7</v>
      </c>
      <c r="H106" s="1">
        <v>9.5</v>
      </c>
      <c r="I106" s="2">
        <v>45427</v>
      </c>
      <c r="J106" t="s">
        <v>386</v>
      </c>
      <c r="K106">
        <v>24</v>
      </c>
      <c r="L106" t="str">
        <f>IF(Table1[[#This Row],[Sales_Volume]]&gt;Table1[[#This Row],[Stock_Quantity]],"Pending","Fulfilled")</f>
        <v>Pending</v>
      </c>
      <c r="M106">
        <v>1</v>
      </c>
      <c r="N106">
        <v>21</v>
      </c>
      <c r="O106" t="str">
        <f>IF(Table1[[#This Row],[Stock_Quantity]]&lt;=Table1[[#This Row],[Reorder_Level]],"Reoeder required","Sufficient")</f>
        <v>Reoeder required</v>
      </c>
      <c r="P106" t="str">
        <f>IF(Table1[[#This Row],[Stock_Quantity]]=0,"Out of stock","Available")</f>
        <v>Available</v>
      </c>
    </row>
    <row r="107" spans="1:16" x14ac:dyDescent="0.3">
      <c r="A107" t="s">
        <v>387</v>
      </c>
      <c r="B107" t="s">
        <v>176</v>
      </c>
      <c r="C107" t="s">
        <v>31</v>
      </c>
      <c r="D107" t="s">
        <v>116</v>
      </c>
      <c r="E107">
        <v>63</v>
      </c>
      <c r="F107">
        <v>81</v>
      </c>
      <c r="G107">
        <v>94</v>
      </c>
      <c r="H107" s="1">
        <v>2.5</v>
      </c>
      <c r="I107" s="2">
        <v>45402</v>
      </c>
      <c r="J107" t="s">
        <v>388</v>
      </c>
      <c r="K107">
        <v>56</v>
      </c>
      <c r="L107" t="str">
        <f>IF(Table1[[#This Row],[Sales_Volume]]&gt;Table1[[#This Row],[Stock_Quantity]],"Pending","Fulfilled")</f>
        <v>Fulfilled</v>
      </c>
      <c r="M107">
        <v>4</v>
      </c>
      <c r="N107">
        <v>2</v>
      </c>
      <c r="O107" t="str">
        <f>IF(Table1[[#This Row],[Stock_Quantity]]&lt;=Table1[[#This Row],[Reorder_Level]],"Reoeder required","Sufficient")</f>
        <v>Reoeder required</v>
      </c>
      <c r="P107" t="str">
        <f>IF(Table1[[#This Row],[Stock_Quantity]]=0,"Out of stock","Available")</f>
        <v>Available</v>
      </c>
    </row>
    <row r="108" spans="1:16" x14ac:dyDescent="0.3">
      <c r="A108" t="s">
        <v>389</v>
      </c>
      <c r="B108" t="s">
        <v>390</v>
      </c>
      <c r="C108" t="s">
        <v>99</v>
      </c>
      <c r="D108" t="s">
        <v>198</v>
      </c>
      <c r="E108">
        <v>95</v>
      </c>
      <c r="F108">
        <v>63</v>
      </c>
      <c r="G108">
        <v>73</v>
      </c>
      <c r="H108" s="1">
        <v>7</v>
      </c>
      <c r="I108" s="2">
        <v>45448</v>
      </c>
      <c r="J108" t="s">
        <v>391</v>
      </c>
      <c r="K108">
        <v>61</v>
      </c>
      <c r="L108" t="str">
        <f>IF(Table1[[#This Row],[Sales_Volume]]&gt;Table1[[#This Row],[Stock_Quantity]],"Pending","Fulfilled")</f>
        <v>Fulfilled</v>
      </c>
      <c r="M108">
        <v>8</v>
      </c>
      <c r="N108">
        <v>38</v>
      </c>
      <c r="O108" t="str">
        <f>IF(Table1[[#This Row],[Stock_Quantity]]&lt;=Table1[[#This Row],[Reorder_Level]],"Reoeder required","Sufficient")</f>
        <v>Sufficient</v>
      </c>
      <c r="P108" t="str">
        <f>IF(Table1[[#This Row],[Stock_Quantity]]=0,"Out of stock","Available")</f>
        <v>Available</v>
      </c>
    </row>
    <row r="109" spans="1:16" x14ac:dyDescent="0.3">
      <c r="A109" t="s">
        <v>392</v>
      </c>
      <c r="B109" t="s">
        <v>393</v>
      </c>
      <c r="C109" t="s">
        <v>31</v>
      </c>
      <c r="D109" t="s">
        <v>394</v>
      </c>
      <c r="E109">
        <v>58</v>
      </c>
      <c r="F109">
        <v>5</v>
      </c>
      <c r="G109">
        <v>1</v>
      </c>
      <c r="H109" s="1">
        <v>2</v>
      </c>
      <c r="I109" s="2">
        <v>45579</v>
      </c>
      <c r="J109" t="s">
        <v>395</v>
      </c>
      <c r="K109">
        <v>53</v>
      </c>
      <c r="L109" t="str">
        <f>IF(Table1[[#This Row],[Sales_Volume]]&gt;Table1[[#This Row],[Stock_Quantity]],"Pending","Fulfilled")</f>
        <v>Fulfilled</v>
      </c>
      <c r="M109">
        <v>8</v>
      </c>
      <c r="N109">
        <v>80</v>
      </c>
      <c r="O109" t="str">
        <f>IF(Table1[[#This Row],[Stock_Quantity]]&lt;=Table1[[#This Row],[Reorder_Level]],"Reoeder required","Sufficient")</f>
        <v>Sufficient</v>
      </c>
      <c r="P109" t="str">
        <f>IF(Table1[[#This Row],[Stock_Quantity]]=0,"Out of stock","Available")</f>
        <v>Available</v>
      </c>
    </row>
    <row r="110" spans="1:16" x14ac:dyDescent="0.3">
      <c r="A110" t="s">
        <v>396</v>
      </c>
      <c r="B110" t="s">
        <v>334</v>
      </c>
      <c r="C110" t="s">
        <v>40</v>
      </c>
      <c r="D110" t="s">
        <v>397</v>
      </c>
      <c r="E110">
        <v>57</v>
      </c>
      <c r="F110">
        <v>36</v>
      </c>
      <c r="G110">
        <v>53</v>
      </c>
      <c r="H110" s="1">
        <v>4</v>
      </c>
      <c r="I110" s="2">
        <v>45459</v>
      </c>
      <c r="J110" t="s">
        <v>398</v>
      </c>
      <c r="K110">
        <v>56</v>
      </c>
      <c r="L110" t="str">
        <f>IF(Table1[[#This Row],[Sales_Volume]]&gt;Table1[[#This Row],[Stock_Quantity]],"Pending","Fulfilled")</f>
        <v>Fulfilled</v>
      </c>
      <c r="M110">
        <v>6</v>
      </c>
      <c r="N110">
        <v>32</v>
      </c>
      <c r="O110" t="str">
        <f>IF(Table1[[#This Row],[Stock_Quantity]]&lt;=Table1[[#This Row],[Reorder_Level]],"Reoeder required","Sufficient")</f>
        <v>Sufficient</v>
      </c>
      <c r="P110" t="str">
        <f>IF(Table1[[#This Row],[Stock_Quantity]]=0,"Out of stock","Available")</f>
        <v>Available</v>
      </c>
    </row>
    <row r="111" spans="1:16" x14ac:dyDescent="0.3">
      <c r="A111" t="s">
        <v>399</v>
      </c>
      <c r="B111" t="s">
        <v>232</v>
      </c>
      <c r="C111" t="s">
        <v>99</v>
      </c>
      <c r="D111" t="s">
        <v>400</v>
      </c>
      <c r="E111">
        <v>33</v>
      </c>
      <c r="F111">
        <v>18</v>
      </c>
      <c r="G111">
        <v>92</v>
      </c>
      <c r="H111" s="1">
        <v>6</v>
      </c>
      <c r="I111" s="2">
        <v>45561</v>
      </c>
      <c r="J111" t="s">
        <v>401</v>
      </c>
      <c r="K111">
        <v>98</v>
      </c>
      <c r="L111" t="str">
        <f>IF(Table1[[#This Row],[Sales_Volume]]&gt;Table1[[#This Row],[Stock_Quantity]],"Pending","Fulfilled")</f>
        <v>Pending</v>
      </c>
      <c r="M111">
        <v>6</v>
      </c>
      <c r="N111">
        <v>56</v>
      </c>
      <c r="O111" t="str">
        <f>IF(Table1[[#This Row],[Stock_Quantity]]&lt;=Table1[[#This Row],[Reorder_Level]],"Reoeder required","Sufficient")</f>
        <v>Sufficient</v>
      </c>
      <c r="P111" t="str">
        <f>IF(Table1[[#This Row],[Stock_Quantity]]=0,"Out of stock","Available")</f>
        <v>Available</v>
      </c>
    </row>
    <row r="112" spans="1:16" x14ac:dyDescent="0.3">
      <c r="A112" t="s">
        <v>402</v>
      </c>
      <c r="B112" t="s">
        <v>17</v>
      </c>
      <c r="C112" t="s">
        <v>18</v>
      </c>
      <c r="D112" t="s">
        <v>69</v>
      </c>
      <c r="E112">
        <v>62</v>
      </c>
      <c r="F112">
        <v>89</v>
      </c>
      <c r="G112">
        <v>6</v>
      </c>
      <c r="H112" s="1">
        <v>20</v>
      </c>
      <c r="I112" s="2">
        <v>45449</v>
      </c>
      <c r="J112" t="s">
        <v>403</v>
      </c>
      <c r="K112">
        <v>23</v>
      </c>
      <c r="L112" t="str">
        <f>IF(Table1[[#This Row],[Sales_Volume]]&gt;Table1[[#This Row],[Stock_Quantity]],"Pending","Fulfilled")</f>
        <v>Fulfilled</v>
      </c>
      <c r="M112">
        <v>5</v>
      </c>
      <c r="N112">
        <v>11</v>
      </c>
      <c r="O112" t="str">
        <f>IF(Table1[[#This Row],[Stock_Quantity]]&lt;=Table1[[#This Row],[Reorder_Level]],"Reoeder required","Sufficient")</f>
        <v>Reoeder required</v>
      </c>
      <c r="P112" t="str">
        <f>IF(Table1[[#This Row],[Stock_Quantity]]=0,"Out of stock","Available")</f>
        <v>Available</v>
      </c>
    </row>
    <row r="113" spans="1:16" x14ac:dyDescent="0.3">
      <c r="A113" t="s">
        <v>404</v>
      </c>
      <c r="B113" t="s">
        <v>405</v>
      </c>
      <c r="C113" t="s">
        <v>31</v>
      </c>
      <c r="D113" t="s">
        <v>116</v>
      </c>
      <c r="E113">
        <v>89</v>
      </c>
      <c r="F113">
        <v>57</v>
      </c>
      <c r="G113">
        <v>92</v>
      </c>
      <c r="H113" s="1">
        <v>5</v>
      </c>
      <c r="I113" s="2">
        <v>45457</v>
      </c>
      <c r="J113" t="s">
        <v>406</v>
      </c>
      <c r="K113">
        <v>38</v>
      </c>
      <c r="L113" t="str">
        <f>IF(Table1[[#This Row],[Sales_Volume]]&gt;Table1[[#This Row],[Stock_Quantity]],"Pending","Fulfilled")</f>
        <v>Fulfilled</v>
      </c>
      <c r="M113">
        <v>8</v>
      </c>
      <c r="N113">
        <v>16</v>
      </c>
      <c r="O113" t="str">
        <f>IF(Table1[[#This Row],[Stock_Quantity]]&lt;=Table1[[#This Row],[Reorder_Level]],"Reoeder required","Sufficient")</f>
        <v>Sufficient</v>
      </c>
      <c r="P113" t="str">
        <f>IF(Table1[[#This Row],[Stock_Quantity]]=0,"Out of stock","Available")</f>
        <v>Available</v>
      </c>
    </row>
    <row r="114" spans="1:16" x14ac:dyDescent="0.3">
      <c r="A114" t="s">
        <v>407</v>
      </c>
      <c r="B114" t="s">
        <v>408</v>
      </c>
      <c r="C114" t="s">
        <v>99</v>
      </c>
      <c r="D114" t="s">
        <v>409</v>
      </c>
      <c r="E114">
        <v>23</v>
      </c>
      <c r="F114">
        <v>42</v>
      </c>
      <c r="G114">
        <v>87</v>
      </c>
      <c r="H114" s="1">
        <v>8</v>
      </c>
      <c r="I114" s="2">
        <v>45488</v>
      </c>
      <c r="J114" t="s">
        <v>410</v>
      </c>
      <c r="K114">
        <v>63</v>
      </c>
      <c r="L114" t="str">
        <f>IF(Table1[[#This Row],[Sales_Volume]]&gt;Table1[[#This Row],[Stock_Quantity]],"Pending","Fulfilled")</f>
        <v>Pending</v>
      </c>
      <c r="M114">
        <v>7</v>
      </c>
      <c r="N114">
        <v>5</v>
      </c>
      <c r="O114" t="str">
        <f>IF(Table1[[#This Row],[Stock_Quantity]]&lt;=Table1[[#This Row],[Reorder_Level]],"Reoeder required","Sufficient")</f>
        <v>Reoeder required</v>
      </c>
      <c r="P114" t="str">
        <f>IF(Table1[[#This Row],[Stock_Quantity]]=0,"Out of stock","Available")</f>
        <v>Available</v>
      </c>
    </row>
    <row r="115" spans="1:16" x14ac:dyDescent="0.3">
      <c r="A115" t="s">
        <v>411</v>
      </c>
      <c r="B115" t="s">
        <v>412</v>
      </c>
      <c r="C115" t="s">
        <v>31</v>
      </c>
      <c r="D115" t="s">
        <v>23</v>
      </c>
      <c r="E115">
        <v>56</v>
      </c>
      <c r="F115">
        <v>12</v>
      </c>
      <c r="G115">
        <v>59</v>
      </c>
      <c r="H115" s="1">
        <v>98.43</v>
      </c>
      <c r="I115" s="2">
        <v>45531</v>
      </c>
      <c r="J115" t="s">
        <v>413</v>
      </c>
      <c r="K115">
        <v>35</v>
      </c>
      <c r="L115" t="str">
        <f>IF(Table1[[#This Row],[Sales_Volume]]&gt;Table1[[#This Row],[Stock_Quantity]],"Pending","Fulfilled")</f>
        <v>Fulfilled</v>
      </c>
      <c r="M115">
        <v>1</v>
      </c>
      <c r="N115">
        <v>16</v>
      </c>
      <c r="O115" t="str">
        <f>IF(Table1[[#This Row],[Stock_Quantity]]&lt;=Table1[[#This Row],[Reorder_Level]],"Reoeder required","Sufficient")</f>
        <v>Sufficient</v>
      </c>
      <c r="P115" t="str">
        <f>IF(Table1[[#This Row],[Stock_Quantity]]=0,"Out of stock","Available")</f>
        <v>Available</v>
      </c>
    </row>
    <row r="116" spans="1:16" x14ac:dyDescent="0.3">
      <c r="A116" t="s">
        <v>414</v>
      </c>
      <c r="B116" t="s">
        <v>22</v>
      </c>
      <c r="C116" t="s">
        <v>13</v>
      </c>
      <c r="D116" t="s">
        <v>415</v>
      </c>
      <c r="E116">
        <v>86</v>
      </c>
      <c r="F116">
        <v>100</v>
      </c>
      <c r="G116">
        <v>74</v>
      </c>
      <c r="H116" s="1">
        <v>6.1</v>
      </c>
      <c r="I116" s="2">
        <v>45674</v>
      </c>
      <c r="J116" t="s">
        <v>416</v>
      </c>
      <c r="K116">
        <v>80</v>
      </c>
      <c r="L116" t="str">
        <f>IF(Table1[[#This Row],[Sales_Volume]]&gt;Table1[[#This Row],[Stock_Quantity]],"Pending","Fulfilled")</f>
        <v>Fulfilled</v>
      </c>
      <c r="M116">
        <v>1</v>
      </c>
      <c r="N116">
        <v>94</v>
      </c>
      <c r="O116" t="str">
        <f>IF(Table1[[#This Row],[Stock_Quantity]]&lt;=Table1[[#This Row],[Reorder_Level]],"Reoeder required","Sufficient")</f>
        <v>Reoeder required</v>
      </c>
      <c r="P116" t="str">
        <f>IF(Table1[[#This Row],[Stock_Quantity]]=0,"Out of stock","Available")</f>
        <v>Available</v>
      </c>
    </row>
    <row r="117" spans="1:16" x14ac:dyDescent="0.3">
      <c r="A117" t="s">
        <v>417</v>
      </c>
      <c r="B117" t="s">
        <v>418</v>
      </c>
      <c r="C117" t="s">
        <v>31</v>
      </c>
      <c r="D117" t="s">
        <v>419</v>
      </c>
      <c r="E117">
        <v>60</v>
      </c>
      <c r="F117">
        <v>61</v>
      </c>
      <c r="G117">
        <v>2</v>
      </c>
      <c r="H117" s="1">
        <v>6</v>
      </c>
      <c r="I117" s="2">
        <v>45516</v>
      </c>
      <c r="J117" t="s">
        <v>420</v>
      </c>
      <c r="K117">
        <v>96</v>
      </c>
      <c r="L117" t="str">
        <f>IF(Table1[[#This Row],[Sales_Volume]]&gt;Table1[[#This Row],[Stock_Quantity]],"Pending","Fulfilled")</f>
        <v>Pending</v>
      </c>
      <c r="M117">
        <v>5</v>
      </c>
      <c r="N117">
        <v>50</v>
      </c>
      <c r="O117" t="str">
        <f>IF(Table1[[#This Row],[Stock_Quantity]]&lt;=Table1[[#This Row],[Reorder_Level]],"Reoeder required","Sufficient")</f>
        <v>Reoeder required</v>
      </c>
      <c r="P117" t="str">
        <f>IF(Table1[[#This Row],[Stock_Quantity]]=0,"Out of stock","Available")</f>
        <v>Available</v>
      </c>
    </row>
    <row r="118" spans="1:16" x14ac:dyDescent="0.3">
      <c r="A118" t="s">
        <v>421</v>
      </c>
      <c r="B118" t="s">
        <v>138</v>
      </c>
      <c r="C118" t="s">
        <v>31</v>
      </c>
      <c r="D118" t="s">
        <v>422</v>
      </c>
      <c r="E118">
        <v>70</v>
      </c>
      <c r="F118">
        <v>30</v>
      </c>
      <c r="G118">
        <v>69</v>
      </c>
      <c r="H118" s="1">
        <v>3.5</v>
      </c>
      <c r="I118" s="2">
        <v>45691</v>
      </c>
      <c r="J118" t="s">
        <v>423</v>
      </c>
      <c r="K118">
        <v>44</v>
      </c>
      <c r="L118" t="str">
        <f>IF(Table1[[#This Row],[Sales_Volume]]&gt;Table1[[#This Row],[Stock_Quantity]],"Pending","Fulfilled")</f>
        <v>Fulfilled</v>
      </c>
      <c r="M118">
        <v>4</v>
      </c>
      <c r="N118">
        <v>42</v>
      </c>
      <c r="O118" t="str">
        <f>IF(Table1[[#This Row],[Stock_Quantity]]&lt;=Table1[[#This Row],[Reorder_Level]],"Reoeder required","Sufficient")</f>
        <v>Sufficient</v>
      </c>
      <c r="P118" t="str">
        <f>IF(Table1[[#This Row],[Stock_Quantity]]=0,"Out of stock","Available")</f>
        <v>Available</v>
      </c>
    </row>
    <row r="119" spans="1:16" x14ac:dyDescent="0.3">
      <c r="A119" t="s">
        <v>424</v>
      </c>
      <c r="B119" t="s">
        <v>425</v>
      </c>
      <c r="C119" t="s">
        <v>31</v>
      </c>
      <c r="D119" t="s">
        <v>426</v>
      </c>
      <c r="E119">
        <v>47</v>
      </c>
      <c r="F119">
        <v>72</v>
      </c>
      <c r="G119">
        <v>73</v>
      </c>
      <c r="H119" s="1">
        <v>4</v>
      </c>
      <c r="I119" s="2">
        <v>45381</v>
      </c>
      <c r="J119" t="s">
        <v>427</v>
      </c>
      <c r="K119">
        <v>93</v>
      </c>
      <c r="L119" t="str">
        <f>IF(Table1[[#This Row],[Sales_Volume]]&gt;Table1[[#This Row],[Stock_Quantity]],"Pending","Fulfilled")</f>
        <v>Pending</v>
      </c>
      <c r="M119">
        <v>4</v>
      </c>
      <c r="N119">
        <v>27</v>
      </c>
      <c r="O119" t="str">
        <f>IF(Table1[[#This Row],[Stock_Quantity]]&lt;=Table1[[#This Row],[Reorder_Level]],"Reoeder required","Sufficient")</f>
        <v>Reoeder required</v>
      </c>
      <c r="P119" t="str">
        <f>IF(Table1[[#This Row],[Stock_Quantity]]=0,"Out of stock","Available")</f>
        <v>Available</v>
      </c>
    </row>
    <row r="120" spans="1:16" x14ac:dyDescent="0.3">
      <c r="A120" t="s">
        <v>428</v>
      </c>
      <c r="B120" t="s">
        <v>296</v>
      </c>
      <c r="C120" t="s">
        <v>13</v>
      </c>
      <c r="D120" t="s">
        <v>429</v>
      </c>
      <c r="E120">
        <v>95</v>
      </c>
      <c r="F120">
        <v>93</v>
      </c>
      <c r="G120">
        <v>16</v>
      </c>
      <c r="H120" s="1">
        <v>4.5</v>
      </c>
      <c r="I120" s="2">
        <v>45541</v>
      </c>
      <c r="J120" t="s">
        <v>430</v>
      </c>
      <c r="K120">
        <v>60</v>
      </c>
      <c r="L120" t="str">
        <f>IF(Table1[[#This Row],[Sales_Volume]]&gt;Table1[[#This Row],[Stock_Quantity]],"Pending","Fulfilled")</f>
        <v>Fulfilled</v>
      </c>
      <c r="M120">
        <v>6</v>
      </c>
      <c r="N120">
        <v>19</v>
      </c>
      <c r="O120" t="str">
        <f>IF(Table1[[#This Row],[Stock_Quantity]]&lt;=Table1[[#This Row],[Reorder_Level]],"Reoeder required","Sufficient")</f>
        <v>Sufficient</v>
      </c>
      <c r="P120" t="str">
        <f>IF(Table1[[#This Row],[Stock_Quantity]]=0,"Out of stock","Available")</f>
        <v>Available</v>
      </c>
    </row>
    <row r="121" spans="1:16" x14ac:dyDescent="0.3">
      <c r="A121" t="s">
        <v>431</v>
      </c>
      <c r="B121" t="s">
        <v>30</v>
      </c>
      <c r="C121" t="s">
        <v>31</v>
      </c>
      <c r="D121" t="s">
        <v>432</v>
      </c>
      <c r="E121">
        <v>20</v>
      </c>
      <c r="F121">
        <v>42</v>
      </c>
      <c r="G121">
        <v>21</v>
      </c>
      <c r="H121" s="1">
        <v>3.85</v>
      </c>
      <c r="I121" s="2">
        <v>45684</v>
      </c>
      <c r="J121" t="s">
        <v>433</v>
      </c>
      <c r="K121">
        <v>61</v>
      </c>
      <c r="L121" t="str">
        <f>IF(Table1[[#This Row],[Sales_Volume]]&gt;Table1[[#This Row],[Stock_Quantity]],"Pending","Fulfilled")</f>
        <v>Pending</v>
      </c>
      <c r="M121">
        <v>7</v>
      </c>
      <c r="N121">
        <v>25</v>
      </c>
      <c r="O121" t="str">
        <f>IF(Table1[[#This Row],[Stock_Quantity]]&lt;=Table1[[#This Row],[Reorder_Level]],"Reoeder required","Sufficient")</f>
        <v>Reoeder required</v>
      </c>
      <c r="P121" t="str">
        <f>IF(Table1[[#This Row],[Stock_Quantity]]=0,"Out of stock","Available")</f>
        <v>Available</v>
      </c>
    </row>
    <row r="122" spans="1:16" x14ac:dyDescent="0.3">
      <c r="A122" t="s">
        <v>434</v>
      </c>
      <c r="B122" t="s">
        <v>12</v>
      </c>
      <c r="C122" t="s">
        <v>13</v>
      </c>
      <c r="D122" t="s">
        <v>435</v>
      </c>
      <c r="E122">
        <v>19</v>
      </c>
      <c r="F122">
        <v>17</v>
      </c>
      <c r="G122">
        <v>14</v>
      </c>
      <c r="H122" s="1">
        <v>4.3</v>
      </c>
      <c r="I122" s="2">
        <v>45472</v>
      </c>
      <c r="J122" t="s">
        <v>436</v>
      </c>
      <c r="K122">
        <v>58</v>
      </c>
      <c r="L122" t="str">
        <f>IF(Table1[[#This Row],[Sales_Volume]]&gt;Table1[[#This Row],[Stock_Quantity]],"Pending","Fulfilled")</f>
        <v>Pending</v>
      </c>
      <c r="M122">
        <v>8</v>
      </c>
      <c r="N122">
        <v>23</v>
      </c>
      <c r="O122" t="str">
        <f>IF(Table1[[#This Row],[Stock_Quantity]]&lt;=Table1[[#This Row],[Reorder_Level]],"Reoeder required","Sufficient")</f>
        <v>Sufficient</v>
      </c>
      <c r="P122" t="str">
        <f>IF(Table1[[#This Row],[Stock_Quantity]]=0,"Out of stock","Available")</f>
        <v>Available</v>
      </c>
    </row>
    <row r="123" spans="1:16" x14ac:dyDescent="0.3">
      <c r="A123" t="s">
        <v>437</v>
      </c>
      <c r="B123" t="s">
        <v>17</v>
      </c>
      <c r="C123" t="s">
        <v>18</v>
      </c>
      <c r="D123" t="s">
        <v>360</v>
      </c>
      <c r="E123">
        <v>74</v>
      </c>
      <c r="F123">
        <v>72</v>
      </c>
      <c r="G123">
        <v>18</v>
      </c>
      <c r="H123" s="1">
        <v>21</v>
      </c>
      <c r="I123" s="2">
        <v>45349</v>
      </c>
      <c r="J123" t="s">
        <v>438</v>
      </c>
      <c r="K123">
        <v>83</v>
      </c>
      <c r="L123" t="str">
        <f>IF(Table1[[#This Row],[Sales_Volume]]&gt;Table1[[#This Row],[Stock_Quantity]],"Pending","Fulfilled")</f>
        <v>Pending</v>
      </c>
      <c r="M123">
        <v>4</v>
      </c>
      <c r="N123">
        <v>54</v>
      </c>
      <c r="O123" t="str">
        <f>IF(Table1[[#This Row],[Stock_Quantity]]&lt;=Table1[[#This Row],[Reorder_Level]],"Reoeder required","Sufficient")</f>
        <v>Sufficient</v>
      </c>
      <c r="P123" t="str">
        <f>IF(Table1[[#This Row],[Stock_Quantity]]=0,"Out of stock","Available")</f>
        <v>Available</v>
      </c>
    </row>
    <row r="124" spans="1:16" x14ac:dyDescent="0.3">
      <c r="A124" t="s">
        <v>439</v>
      </c>
      <c r="B124" t="s">
        <v>130</v>
      </c>
      <c r="C124" t="s">
        <v>31</v>
      </c>
      <c r="D124" t="s">
        <v>440</v>
      </c>
      <c r="E124">
        <v>61</v>
      </c>
      <c r="F124">
        <v>50</v>
      </c>
      <c r="G124">
        <v>9</v>
      </c>
      <c r="H124" s="1">
        <v>4.5</v>
      </c>
      <c r="I124" s="2">
        <v>45348</v>
      </c>
      <c r="J124" t="s">
        <v>441</v>
      </c>
      <c r="K124">
        <v>24</v>
      </c>
      <c r="L124" t="str">
        <f>IF(Table1[[#This Row],[Sales_Volume]]&gt;Table1[[#This Row],[Stock_Quantity]],"Pending","Fulfilled")</f>
        <v>Fulfilled</v>
      </c>
      <c r="M124">
        <v>4</v>
      </c>
      <c r="N124">
        <v>92</v>
      </c>
      <c r="O124" t="str">
        <f>IF(Table1[[#This Row],[Stock_Quantity]]&lt;=Table1[[#This Row],[Reorder_Level]],"Reoeder required","Sufficient")</f>
        <v>Sufficient</v>
      </c>
      <c r="P124" t="str">
        <f>IF(Table1[[#This Row],[Stock_Quantity]]=0,"Out of stock","Available")</f>
        <v>Available</v>
      </c>
    </row>
    <row r="125" spans="1:16" x14ac:dyDescent="0.3">
      <c r="A125" t="s">
        <v>442</v>
      </c>
      <c r="B125" t="s">
        <v>204</v>
      </c>
      <c r="C125" t="s">
        <v>65</v>
      </c>
      <c r="D125" t="s">
        <v>443</v>
      </c>
      <c r="E125">
        <v>34</v>
      </c>
      <c r="F125">
        <v>42</v>
      </c>
      <c r="G125">
        <v>86</v>
      </c>
      <c r="H125" s="1">
        <v>4</v>
      </c>
      <c r="I125" s="2">
        <v>45572</v>
      </c>
      <c r="J125" t="s">
        <v>444</v>
      </c>
      <c r="K125">
        <v>28</v>
      </c>
      <c r="L125" t="str">
        <f>IF(Table1[[#This Row],[Sales_Volume]]&gt;Table1[[#This Row],[Stock_Quantity]],"Pending","Fulfilled")</f>
        <v>Fulfilled</v>
      </c>
      <c r="M125">
        <v>8</v>
      </c>
      <c r="N125">
        <v>23</v>
      </c>
      <c r="O125" t="str">
        <f>IF(Table1[[#This Row],[Stock_Quantity]]&lt;=Table1[[#This Row],[Reorder_Level]],"Reoeder required","Sufficient")</f>
        <v>Reoeder required</v>
      </c>
      <c r="P125" t="str">
        <f>IF(Table1[[#This Row],[Stock_Quantity]]=0,"Out of stock","Available")</f>
        <v>Available</v>
      </c>
    </row>
    <row r="126" spans="1:16" x14ac:dyDescent="0.3">
      <c r="A126" t="s">
        <v>445</v>
      </c>
      <c r="B126" t="s">
        <v>130</v>
      </c>
      <c r="C126" t="s">
        <v>31</v>
      </c>
      <c r="D126" t="s">
        <v>446</v>
      </c>
      <c r="E126">
        <v>29</v>
      </c>
      <c r="F126">
        <v>20</v>
      </c>
      <c r="G126">
        <v>85</v>
      </c>
      <c r="H126" s="1">
        <v>4.5</v>
      </c>
      <c r="I126" s="2">
        <v>45708</v>
      </c>
      <c r="J126" t="s">
        <v>447</v>
      </c>
      <c r="K126">
        <v>31</v>
      </c>
      <c r="L126" t="str">
        <f>IF(Table1[[#This Row],[Sales_Volume]]&gt;Table1[[#This Row],[Stock_Quantity]],"Pending","Fulfilled")</f>
        <v>Pending</v>
      </c>
      <c r="M126">
        <v>7</v>
      </c>
      <c r="N126">
        <v>31</v>
      </c>
      <c r="O126" t="str">
        <f>IF(Table1[[#This Row],[Stock_Quantity]]&lt;=Table1[[#This Row],[Reorder_Level]],"Reoeder required","Sufficient")</f>
        <v>Sufficient</v>
      </c>
      <c r="P126" t="str">
        <f>IF(Table1[[#This Row],[Stock_Quantity]]=0,"Out of stock","Available")</f>
        <v>Available</v>
      </c>
    </row>
    <row r="127" spans="1:16" x14ac:dyDescent="0.3">
      <c r="A127" t="s">
        <v>448</v>
      </c>
      <c r="B127" t="s">
        <v>279</v>
      </c>
      <c r="C127" t="s">
        <v>45</v>
      </c>
      <c r="D127" t="s">
        <v>375</v>
      </c>
      <c r="E127">
        <v>14</v>
      </c>
      <c r="F127">
        <v>99</v>
      </c>
      <c r="G127">
        <v>97</v>
      </c>
      <c r="H127" s="1">
        <v>4.2</v>
      </c>
      <c r="I127" s="2">
        <v>45663</v>
      </c>
      <c r="J127" t="s">
        <v>449</v>
      </c>
      <c r="K127">
        <v>28</v>
      </c>
      <c r="L127" t="str">
        <f>IF(Table1[[#This Row],[Sales_Volume]]&gt;Table1[[#This Row],[Stock_Quantity]],"Pending","Fulfilled")</f>
        <v>Pending</v>
      </c>
      <c r="M127">
        <v>6</v>
      </c>
      <c r="N127">
        <v>45</v>
      </c>
      <c r="O127" t="str">
        <f>IF(Table1[[#This Row],[Stock_Quantity]]&lt;=Table1[[#This Row],[Reorder_Level]],"Reoeder required","Sufficient")</f>
        <v>Reoeder required</v>
      </c>
      <c r="P127" t="str">
        <f>IF(Table1[[#This Row],[Stock_Quantity]]=0,"Out of stock","Available")</f>
        <v>Available</v>
      </c>
    </row>
    <row r="128" spans="1:16" x14ac:dyDescent="0.3">
      <c r="A128" t="s">
        <v>450</v>
      </c>
      <c r="B128" t="s">
        <v>451</v>
      </c>
      <c r="C128" t="s">
        <v>13</v>
      </c>
      <c r="D128" t="s">
        <v>452</v>
      </c>
      <c r="E128">
        <v>20</v>
      </c>
      <c r="F128">
        <v>20</v>
      </c>
      <c r="G128">
        <v>56</v>
      </c>
      <c r="H128" s="1">
        <v>1.8</v>
      </c>
      <c r="I128" s="2">
        <v>45444</v>
      </c>
      <c r="J128" t="s">
        <v>453</v>
      </c>
      <c r="K128">
        <v>62</v>
      </c>
      <c r="L128" t="str">
        <f>IF(Table1[[#This Row],[Sales_Volume]]&gt;Table1[[#This Row],[Stock_Quantity]],"Pending","Fulfilled")</f>
        <v>Pending</v>
      </c>
      <c r="M128">
        <v>2</v>
      </c>
      <c r="N128">
        <v>69</v>
      </c>
      <c r="O128" t="str">
        <f>IF(Table1[[#This Row],[Stock_Quantity]]&lt;=Table1[[#This Row],[Reorder_Level]],"Reoeder required","Sufficient")</f>
        <v>Reoeder required</v>
      </c>
      <c r="P128" t="str">
        <f>IF(Table1[[#This Row],[Stock_Quantity]]=0,"Out of stock","Available")</f>
        <v>Available</v>
      </c>
    </row>
    <row r="129" spans="1:16" x14ac:dyDescent="0.3">
      <c r="A129" t="s">
        <v>454</v>
      </c>
      <c r="B129" t="s">
        <v>455</v>
      </c>
      <c r="C129" t="s">
        <v>13</v>
      </c>
      <c r="D129" t="s">
        <v>456</v>
      </c>
      <c r="E129">
        <v>40</v>
      </c>
      <c r="F129">
        <v>38</v>
      </c>
      <c r="G129">
        <v>32</v>
      </c>
      <c r="H129" s="1">
        <v>3.2</v>
      </c>
      <c r="I129" s="2">
        <v>45451</v>
      </c>
      <c r="J129" t="s">
        <v>457</v>
      </c>
      <c r="K129">
        <v>21</v>
      </c>
      <c r="L129" t="str">
        <f>IF(Table1[[#This Row],[Sales_Volume]]&gt;Table1[[#This Row],[Stock_Quantity]],"Pending","Fulfilled")</f>
        <v>Fulfilled</v>
      </c>
      <c r="M129">
        <v>7</v>
      </c>
      <c r="N129">
        <v>45</v>
      </c>
      <c r="O129" t="str">
        <f>IF(Table1[[#This Row],[Stock_Quantity]]&lt;=Table1[[#This Row],[Reorder_Level]],"Reoeder required","Sufficient")</f>
        <v>Sufficient</v>
      </c>
      <c r="P129" t="str">
        <f>IF(Table1[[#This Row],[Stock_Quantity]]=0,"Out of stock","Available")</f>
        <v>Available</v>
      </c>
    </row>
    <row r="130" spans="1:16" x14ac:dyDescent="0.3">
      <c r="A130" t="s">
        <v>458</v>
      </c>
      <c r="B130" t="s">
        <v>459</v>
      </c>
      <c r="C130" t="s">
        <v>40</v>
      </c>
      <c r="D130" t="s">
        <v>91</v>
      </c>
      <c r="E130">
        <v>91</v>
      </c>
      <c r="F130">
        <v>82</v>
      </c>
      <c r="G130">
        <v>58</v>
      </c>
      <c r="H130" s="1">
        <v>2.2999999999999998</v>
      </c>
      <c r="I130" s="2">
        <v>45586</v>
      </c>
      <c r="J130" t="s">
        <v>460</v>
      </c>
      <c r="K130">
        <v>43</v>
      </c>
      <c r="L130" t="str">
        <f>IF(Table1[[#This Row],[Sales_Volume]]&gt;Table1[[#This Row],[Stock_Quantity]],"Pending","Fulfilled")</f>
        <v>Fulfilled</v>
      </c>
      <c r="M130">
        <v>2</v>
      </c>
      <c r="N130">
        <v>45</v>
      </c>
      <c r="O130" t="str">
        <f>IF(Table1[[#This Row],[Stock_Quantity]]&lt;=Table1[[#This Row],[Reorder_Level]],"Reoeder required","Sufficient")</f>
        <v>Sufficient</v>
      </c>
      <c r="P130" t="str">
        <f>IF(Table1[[#This Row],[Stock_Quantity]]=0,"Out of stock","Available")</f>
        <v>Available</v>
      </c>
    </row>
    <row r="131" spans="1:16" x14ac:dyDescent="0.3">
      <c r="A131" t="s">
        <v>461</v>
      </c>
      <c r="B131" t="s">
        <v>462</v>
      </c>
      <c r="C131" t="s">
        <v>40</v>
      </c>
      <c r="D131" t="s">
        <v>463</v>
      </c>
      <c r="E131">
        <v>99</v>
      </c>
      <c r="F131">
        <v>96</v>
      </c>
      <c r="G131">
        <v>39</v>
      </c>
      <c r="H131" s="1">
        <v>10</v>
      </c>
      <c r="I131" s="2">
        <v>45462</v>
      </c>
      <c r="J131" t="s">
        <v>464</v>
      </c>
      <c r="K131">
        <v>94</v>
      </c>
      <c r="L131" t="str">
        <f>IF(Table1[[#This Row],[Sales_Volume]]&gt;Table1[[#This Row],[Stock_Quantity]],"Pending","Fulfilled")</f>
        <v>Fulfilled</v>
      </c>
      <c r="M131">
        <v>7</v>
      </c>
      <c r="N131">
        <v>89</v>
      </c>
      <c r="O131" t="str">
        <f>IF(Table1[[#This Row],[Stock_Quantity]]&lt;=Table1[[#This Row],[Reorder_Level]],"Reoeder required","Sufficient")</f>
        <v>Sufficient</v>
      </c>
      <c r="P131" t="str">
        <f>IF(Table1[[#This Row],[Stock_Quantity]]=0,"Out of stock","Available")</f>
        <v>Available</v>
      </c>
    </row>
    <row r="132" spans="1:16" x14ac:dyDescent="0.3">
      <c r="A132" t="s">
        <v>465</v>
      </c>
      <c r="B132" t="s">
        <v>80</v>
      </c>
      <c r="C132" t="s">
        <v>13</v>
      </c>
      <c r="D132" t="s">
        <v>466</v>
      </c>
      <c r="E132">
        <v>34</v>
      </c>
      <c r="F132">
        <v>46</v>
      </c>
      <c r="G132">
        <v>45</v>
      </c>
      <c r="H132" s="1">
        <v>1.5</v>
      </c>
      <c r="I132" s="2">
        <v>45637</v>
      </c>
      <c r="J132" t="s">
        <v>467</v>
      </c>
      <c r="K132">
        <v>49</v>
      </c>
      <c r="L132" t="str">
        <f>IF(Table1[[#This Row],[Sales_Volume]]&gt;Table1[[#This Row],[Stock_Quantity]],"Pending","Fulfilled")</f>
        <v>Pending</v>
      </c>
      <c r="M132">
        <v>5</v>
      </c>
      <c r="N132">
        <v>25</v>
      </c>
      <c r="O132" t="str">
        <f>IF(Table1[[#This Row],[Stock_Quantity]]&lt;=Table1[[#This Row],[Reorder_Level]],"Reoeder required","Sufficient")</f>
        <v>Reoeder required</v>
      </c>
      <c r="P132" t="str">
        <f>IF(Table1[[#This Row],[Stock_Quantity]]=0,"Out of stock","Available")</f>
        <v>Available</v>
      </c>
    </row>
    <row r="133" spans="1:16" x14ac:dyDescent="0.3">
      <c r="A133" t="s">
        <v>468</v>
      </c>
      <c r="B133" t="s">
        <v>469</v>
      </c>
      <c r="C133" t="s">
        <v>45</v>
      </c>
      <c r="D133" t="s">
        <v>470</v>
      </c>
      <c r="E133">
        <v>100</v>
      </c>
      <c r="F133">
        <v>21</v>
      </c>
      <c r="G133">
        <v>64</v>
      </c>
      <c r="H133" s="1">
        <v>7</v>
      </c>
      <c r="I133" s="2">
        <v>45362</v>
      </c>
      <c r="J133" t="s">
        <v>471</v>
      </c>
      <c r="K133">
        <v>20</v>
      </c>
      <c r="L133" t="str">
        <f>IF(Table1[[#This Row],[Sales_Volume]]&gt;Table1[[#This Row],[Stock_Quantity]],"Pending","Fulfilled")</f>
        <v>Fulfilled</v>
      </c>
      <c r="M133">
        <v>6</v>
      </c>
      <c r="N133">
        <v>13</v>
      </c>
      <c r="O133" t="str">
        <f>IF(Table1[[#This Row],[Stock_Quantity]]&lt;=Table1[[#This Row],[Reorder_Level]],"Reoeder required","Sufficient")</f>
        <v>Sufficient</v>
      </c>
      <c r="P133" t="str">
        <f>IF(Table1[[#This Row],[Stock_Quantity]]=0,"Out of stock","Available")</f>
        <v>Available</v>
      </c>
    </row>
    <row r="134" spans="1:16" x14ac:dyDescent="0.3">
      <c r="A134" t="s">
        <v>472</v>
      </c>
      <c r="B134" t="s">
        <v>22</v>
      </c>
      <c r="C134" t="s">
        <v>13</v>
      </c>
      <c r="D134" t="s">
        <v>473</v>
      </c>
      <c r="E134">
        <v>79</v>
      </c>
      <c r="F134">
        <v>98</v>
      </c>
      <c r="G134">
        <v>97</v>
      </c>
      <c r="H134" s="1">
        <v>6</v>
      </c>
      <c r="I134" s="2">
        <v>45674</v>
      </c>
      <c r="J134" t="s">
        <v>474</v>
      </c>
      <c r="K134">
        <v>26</v>
      </c>
      <c r="L134" t="str">
        <f>IF(Table1[[#This Row],[Sales_Volume]]&gt;Table1[[#This Row],[Stock_Quantity]],"Pending","Fulfilled")</f>
        <v>Fulfilled</v>
      </c>
      <c r="M134">
        <v>2</v>
      </c>
      <c r="N134">
        <v>21</v>
      </c>
      <c r="O134" t="str">
        <f>IF(Table1[[#This Row],[Stock_Quantity]]&lt;=Table1[[#This Row],[Reorder_Level]],"Reoeder required","Sufficient")</f>
        <v>Reoeder required</v>
      </c>
      <c r="P134" t="str">
        <f>IF(Table1[[#This Row],[Stock_Quantity]]=0,"Out of stock","Available")</f>
        <v>Available</v>
      </c>
    </row>
    <row r="135" spans="1:16" x14ac:dyDescent="0.3">
      <c r="A135" t="s">
        <v>475</v>
      </c>
      <c r="B135" t="s">
        <v>49</v>
      </c>
      <c r="C135" t="s">
        <v>45</v>
      </c>
      <c r="D135" t="s">
        <v>470</v>
      </c>
      <c r="E135">
        <v>62</v>
      </c>
      <c r="F135">
        <v>2</v>
      </c>
      <c r="G135">
        <v>98</v>
      </c>
      <c r="H135" s="1">
        <v>3</v>
      </c>
      <c r="I135" s="2">
        <v>45583</v>
      </c>
      <c r="J135" t="s">
        <v>476</v>
      </c>
      <c r="K135">
        <v>50</v>
      </c>
      <c r="L135" t="str">
        <f>IF(Table1[[#This Row],[Sales_Volume]]&gt;Table1[[#This Row],[Stock_Quantity]],"Pending","Fulfilled")</f>
        <v>Fulfilled</v>
      </c>
      <c r="M135">
        <v>2</v>
      </c>
      <c r="N135">
        <v>11</v>
      </c>
      <c r="O135" t="str">
        <f>IF(Table1[[#This Row],[Stock_Quantity]]&lt;=Table1[[#This Row],[Reorder_Level]],"Reoeder required","Sufficient")</f>
        <v>Sufficient</v>
      </c>
      <c r="P135" t="str">
        <f>IF(Table1[[#This Row],[Stock_Quantity]]=0,"Out of stock","Available")</f>
        <v>Available</v>
      </c>
    </row>
    <row r="136" spans="1:16" x14ac:dyDescent="0.3">
      <c r="A136" t="s">
        <v>477</v>
      </c>
      <c r="B136" t="s">
        <v>478</v>
      </c>
      <c r="C136" t="s">
        <v>99</v>
      </c>
      <c r="D136" t="s">
        <v>479</v>
      </c>
      <c r="E136">
        <v>25</v>
      </c>
      <c r="F136">
        <v>44</v>
      </c>
      <c r="G136">
        <v>96</v>
      </c>
      <c r="H136" s="1">
        <v>18</v>
      </c>
      <c r="I136" s="2">
        <v>45360</v>
      </c>
      <c r="J136" t="s">
        <v>480</v>
      </c>
      <c r="K136">
        <v>36</v>
      </c>
      <c r="L136" t="str">
        <f>IF(Table1[[#This Row],[Sales_Volume]]&gt;Table1[[#This Row],[Stock_Quantity]],"Pending","Fulfilled")</f>
        <v>Pending</v>
      </c>
      <c r="M136">
        <v>6</v>
      </c>
      <c r="N136">
        <v>16</v>
      </c>
      <c r="O136" t="str">
        <f>IF(Table1[[#This Row],[Stock_Quantity]]&lt;=Table1[[#This Row],[Reorder_Level]],"Reoeder required","Sufficient")</f>
        <v>Reoeder required</v>
      </c>
      <c r="P136" t="str">
        <f>IF(Table1[[#This Row],[Stock_Quantity]]=0,"Out of stock","Available")</f>
        <v>Available</v>
      </c>
    </row>
    <row r="137" spans="1:16" x14ac:dyDescent="0.3">
      <c r="A137" t="s">
        <v>481</v>
      </c>
      <c r="B137" t="s">
        <v>482</v>
      </c>
      <c r="C137" t="s">
        <v>45</v>
      </c>
      <c r="D137" t="s">
        <v>23</v>
      </c>
      <c r="E137">
        <v>47</v>
      </c>
      <c r="F137">
        <v>2</v>
      </c>
      <c r="G137">
        <v>76</v>
      </c>
      <c r="H137" s="1">
        <v>2.5</v>
      </c>
      <c r="I137" s="2">
        <v>45472</v>
      </c>
      <c r="J137" t="s">
        <v>483</v>
      </c>
      <c r="K137">
        <v>48</v>
      </c>
      <c r="L137" t="str">
        <f>IF(Table1[[#This Row],[Sales_Volume]]&gt;Table1[[#This Row],[Stock_Quantity]],"Pending","Fulfilled")</f>
        <v>Pending</v>
      </c>
      <c r="M137">
        <v>4</v>
      </c>
      <c r="N137">
        <v>36</v>
      </c>
      <c r="O137" t="str">
        <f>IF(Table1[[#This Row],[Stock_Quantity]]&lt;=Table1[[#This Row],[Reorder_Level]],"Reoeder required","Sufficient")</f>
        <v>Sufficient</v>
      </c>
      <c r="P137" t="str">
        <f>IF(Table1[[#This Row],[Stock_Quantity]]=0,"Out of stock","Available")</f>
        <v>Available</v>
      </c>
    </row>
    <row r="138" spans="1:16" x14ac:dyDescent="0.3">
      <c r="A138" t="s">
        <v>484</v>
      </c>
      <c r="B138" t="s">
        <v>211</v>
      </c>
      <c r="C138" t="s">
        <v>31</v>
      </c>
      <c r="D138" t="s">
        <v>485</v>
      </c>
      <c r="E138">
        <v>15</v>
      </c>
      <c r="F138">
        <v>44</v>
      </c>
      <c r="G138">
        <v>88</v>
      </c>
      <c r="H138" s="1">
        <v>3</v>
      </c>
      <c r="I138" s="2">
        <v>45701</v>
      </c>
      <c r="J138" t="s">
        <v>486</v>
      </c>
      <c r="K138">
        <v>56</v>
      </c>
      <c r="L138" t="str">
        <f>IF(Table1[[#This Row],[Sales_Volume]]&gt;Table1[[#This Row],[Stock_Quantity]],"Pending","Fulfilled")</f>
        <v>Pending</v>
      </c>
      <c r="M138">
        <v>5</v>
      </c>
      <c r="N138">
        <v>12</v>
      </c>
      <c r="O138" t="str">
        <f>IF(Table1[[#This Row],[Stock_Quantity]]&lt;=Table1[[#This Row],[Reorder_Level]],"Reoeder required","Sufficient")</f>
        <v>Reoeder required</v>
      </c>
      <c r="P138" t="str">
        <f>IF(Table1[[#This Row],[Stock_Quantity]]=0,"Out of stock","Available")</f>
        <v>Available</v>
      </c>
    </row>
    <row r="139" spans="1:16" x14ac:dyDescent="0.3">
      <c r="A139" t="s">
        <v>487</v>
      </c>
      <c r="B139" t="s">
        <v>418</v>
      </c>
      <c r="C139" t="s">
        <v>31</v>
      </c>
      <c r="D139" t="s">
        <v>488</v>
      </c>
      <c r="E139">
        <v>19</v>
      </c>
      <c r="F139">
        <v>65</v>
      </c>
      <c r="G139">
        <v>48</v>
      </c>
      <c r="H139" s="1">
        <v>6</v>
      </c>
      <c r="I139" s="2">
        <v>45702</v>
      </c>
      <c r="J139" t="s">
        <v>489</v>
      </c>
      <c r="K139">
        <v>59</v>
      </c>
      <c r="L139" t="str">
        <f>IF(Table1[[#This Row],[Sales_Volume]]&gt;Table1[[#This Row],[Stock_Quantity]],"Pending","Fulfilled")</f>
        <v>Pending</v>
      </c>
      <c r="M139">
        <v>5</v>
      </c>
      <c r="N139">
        <v>53</v>
      </c>
      <c r="O139" t="str">
        <f>IF(Table1[[#This Row],[Stock_Quantity]]&lt;=Table1[[#This Row],[Reorder_Level]],"Reoeder required","Sufficient")</f>
        <v>Reoeder required</v>
      </c>
      <c r="P139" t="str">
        <f>IF(Table1[[#This Row],[Stock_Quantity]]=0,"Out of stock","Available")</f>
        <v>Available</v>
      </c>
    </row>
    <row r="140" spans="1:16" x14ac:dyDescent="0.3">
      <c r="A140" t="s">
        <v>490</v>
      </c>
      <c r="B140" t="s">
        <v>478</v>
      </c>
      <c r="C140" t="s">
        <v>99</v>
      </c>
      <c r="D140" t="s">
        <v>491</v>
      </c>
      <c r="E140">
        <v>58</v>
      </c>
      <c r="F140">
        <v>77</v>
      </c>
      <c r="G140">
        <v>96</v>
      </c>
      <c r="H140" s="1">
        <v>18</v>
      </c>
      <c r="I140" s="2">
        <v>45399</v>
      </c>
      <c r="J140" t="s">
        <v>492</v>
      </c>
      <c r="K140">
        <v>25</v>
      </c>
      <c r="L140" t="str">
        <f>IF(Table1[[#This Row],[Sales_Volume]]&gt;Table1[[#This Row],[Stock_Quantity]],"Pending","Fulfilled")</f>
        <v>Fulfilled</v>
      </c>
      <c r="M140">
        <v>5</v>
      </c>
      <c r="N140">
        <v>17</v>
      </c>
      <c r="O140" t="str">
        <f>IF(Table1[[#This Row],[Stock_Quantity]]&lt;=Table1[[#This Row],[Reorder_Level]],"Reoeder required","Sufficient")</f>
        <v>Reoeder required</v>
      </c>
      <c r="P140" t="str">
        <f>IF(Table1[[#This Row],[Stock_Quantity]]=0,"Out of stock","Available")</f>
        <v>Available</v>
      </c>
    </row>
    <row r="141" spans="1:16" x14ac:dyDescent="0.3">
      <c r="A141" t="s">
        <v>493</v>
      </c>
      <c r="B141" t="s">
        <v>494</v>
      </c>
      <c r="C141" t="s">
        <v>45</v>
      </c>
      <c r="D141" t="s">
        <v>495</v>
      </c>
      <c r="E141">
        <v>11</v>
      </c>
      <c r="F141">
        <v>30</v>
      </c>
      <c r="G141">
        <v>4</v>
      </c>
      <c r="H141" s="1">
        <v>4</v>
      </c>
      <c r="I141" s="2">
        <v>45564</v>
      </c>
      <c r="J141" t="s">
        <v>496</v>
      </c>
      <c r="K141">
        <v>84</v>
      </c>
      <c r="L141" t="str">
        <f>IF(Table1[[#This Row],[Sales_Volume]]&gt;Table1[[#This Row],[Stock_Quantity]],"Pending","Fulfilled")</f>
        <v>Pending</v>
      </c>
      <c r="M141">
        <v>3</v>
      </c>
      <c r="N141">
        <v>4</v>
      </c>
      <c r="O141" t="str">
        <f>IF(Table1[[#This Row],[Stock_Quantity]]&lt;=Table1[[#This Row],[Reorder_Level]],"Reoeder required","Sufficient")</f>
        <v>Reoeder required</v>
      </c>
      <c r="P141" t="str">
        <f>IF(Table1[[#This Row],[Stock_Quantity]]=0,"Out of stock","Available")</f>
        <v>Available</v>
      </c>
    </row>
    <row r="142" spans="1:16" x14ac:dyDescent="0.3">
      <c r="A142" t="s">
        <v>497</v>
      </c>
      <c r="B142" t="s">
        <v>363</v>
      </c>
      <c r="C142" t="s">
        <v>13</v>
      </c>
      <c r="D142" t="s">
        <v>498</v>
      </c>
      <c r="E142">
        <v>99</v>
      </c>
      <c r="F142">
        <v>44</v>
      </c>
      <c r="G142">
        <v>52</v>
      </c>
      <c r="H142" s="1">
        <v>2</v>
      </c>
      <c r="I142" s="2">
        <v>45433</v>
      </c>
      <c r="J142" t="s">
        <v>499</v>
      </c>
      <c r="K142">
        <v>36</v>
      </c>
      <c r="L142" t="str">
        <f>IF(Table1[[#This Row],[Sales_Volume]]&gt;Table1[[#This Row],[Stock_Quantity]],"Pending","Fulfilled")</f>
        <v>Fulfilled</v>
      </c>
      <c r="M142">
        <v>7</v>
      </c>
      <c r="N142">
        <v>2</v>
      </c>
      <c r="O142" t="str">
        <f>IF(Table1[[#This Row],[Stock_Quantity]]&lt;=Table1[[#This Row],[Reorder_Level]],"Reoeder required","Sufficient")</f>
        <v>Sufficient</v>
      </c>
      <c r="P142" t="str">
        <f>IF(Table1[[#This Row],[Stock_Quantity]]=0,"Out of stock","Available")</f>
        <v>Available</v>
      </c>
    </row>
    <row r="143" spans="1:16" x14ac:dyDescent="0.3">
      <c r="A143" t="s">
        <v>500</v>
      </c>
      <c r="B143" t="s">
        <v>26</v>
      </c>
      <c r="C143" t="s">
        <v>13</v>
      </c>
      <c r="D143" t="s">
        <v>501</v>
      </c>
      <c r="E143">
        <v>26</v>
      </c>
      <c r="F143">
        <v>82</v>
      </c>
      <c r="G143">
        <v>19</v>
      </c>
      <c r="H143" s="1">
        <v>1.5</v>
      </c>
      <c r="I143" s="2">
        <v>45483</v>
      </c>
      <c r="J143" t="s">
        <v>502</v>
      </c>
      <c r="K143">
        <v>76</v>
      </c>
      <c r="L143" t="str">
        <f>IF(Table1[[#This Row],[Sales_Volume]]&gt;Table1[[#This Row],[Stock_Quantity]],"Pending","Fulfilled")</f>
        <v>Pending</v>
      </c>
      <c r="M143">
        <v>4</v>
      </c>
      <c r="N143">
        <v>88</v>
      </c>
      <c r="O143" t="str">
        <f>IF(Table1[[#This Row],[Stock_Quantity]]&lt;=Table1[[#This Row],[Reorder_Level]],"Reoeder required","Sufficient")</f>
        <v>Reoeder required</v>
      </c>
      <c r="P143" t="str">
        <f>IF(Table1[[#This Row],[Stock_Quantity]]=0,"Out of stock","Available")</f>
        <v>Available</v>
      </c>
    </row>
    <row r="144" spans="1:16" x14ac:dyDescent="0.3">
      <c r="A144" t="s">
        <v>503</v>
      </c>
      <c r="B144" t="s">
        <v>283</v>
      </c>
      <c r="C144" t="s">
        <v>31</v>
      </c>
      <c r="D144" t="s">
        <v>158</v>
      </c>
      <c r="E144">
        <v>70</v>
      </c>
      <c r="F144">
        <v>31</v>
      </c>
      <c r="G144">
        <v>55</v>
      </c>
      <c r="H144" s="1">
        <v>4.5</v>
      </c>
      <c r="I144" s="2">
        <v>45500</v>
      </c>
      <c r="J144" t="s">
        <v>504</v>
      </c>
      <c r="K144">
        <v>23</v>
      </c>
      <c r="L144" t="str">
        <f>IF(Table1[[#This Row],[Sales_Volume]]&gt;Table1[[#This Row],[Stock_Quantity]],"Pending","Fulfilled")</f>
        <v>Fulfilled</v>
      </c>
      <c r="M144">
        <v>2</v>
      </c>
      <c r="N144">
        <v>80</v>
      </c>
      <c r="O144" t="str">
        <f>IF(Table1[[#This Row],[Stock_Quantity]]&lt;=Table1[[#This Row],[Reorder_Level]],"Reoeder required","Sufficient")</f>
        <v>Sufficient</v>
      </c>
      <c r="P144" t="str">
        <f>IF(Table1[[#This Row],[Stock_Quantity]]=0,"Out of stock","Available")</f>
        <v>Available</v>
      </c>
    </row>
    <row r="145" spans="1:16" x14ac:dyDescent="0.3">
      <c r="A145" t="s">
        <v>505</v>
      </c>
      <c r="B145" t="s">
        <v>283</v>
      </c>
      <c r="C145" t="s">
        <v>31</v>
      </c>
      <c r="D145" t="s">
        <v>506</v>
      </c>
      <c r="E145">
        <v>50</v>
      </c>
      <c r="F145">
        <v>3</v>
      </c>
      <c r="G145">
        <v>88</v>
      </c>
      <c r="H145" s="1">
        <v>4.5</v>
      </c>
      <c r="I145" s="2">
        <v>45473</v>
      </c>
      <c r="J145" t="s">
        <v>507</v>
      </c>
      <c r="K145">
        <v>69</v>
      </c>
      <c r="L145" t="str">
        <f>IF(Table1[[#This Row],[Sales_Volume]]&gt;Table1[[#This Row],[Stock_Quantity]],"Pending","Fulfilled")</f>
        <v>Pending</v>
      </c>
      <c r="M145">
        <v>8</v>
      </c>
      <c r="N145">
        <v>73</v>
      </c>
      <c r="O145" t="str">
        <f>IF(Table1[[#This Row],[Stock_Quantity]]&lt;=Table1[[#This Row],[Reorder_Level]],"Reoeder required","Sufficient")</f>
        <v>Sufficient</v>
      </c>
      <c r="P145" t="str">
        <f>IF(Table1[[#This Row],[Stock_Quantity]]=0,"Out of stock","Available")</f>
        <v>Available</v>
      </c>
    </row>
    <row r="146" spans="1:16" x14ac:dyDescent="0.3">
      <c r="A146" t="s">
        <v>508</v>
      </c>
      <c r="B146" t="s">
        <v>138</v>
      </c>
      <c r="C146" t="s">
        <v>31</v>
      </c>
      <c r="D146" t="s">
        <v>473</v>
      </c>
      <c r="E146">
        <v>55</v>
      </c>
      <c r="F146">
        <v>91</v>
      </c>
      <c r="G146">
        <v>35</v>
      </c>
      <c r="H146" s="1">
        <v>3.5</v>
      </c>
      <c r="I146" s="2">
        <v>45434</v>
      </c>
      <c r="J146" t="s">
        <v>509</v>
      </c>
      <c r="K146">
        <v>81</v>
      </c>
      <c r="L146" t="str">
        <f>IF(Table1[[#This Row],[Sales_Volume]]&gt;Table1[[#This Row],[Stock_Quantity]],"Pending","Fulfilled")</f>
        <v>Pending</v>
      </c>
      <c r="M146">
        <v>5</v>
      </c>
      <c r="N146">
        <v>19</v>
      </c>
      <c r="O146" t="str">
        <f>IF(Table1[[#This Row],[Stock_Quantity]]&lt;=Table1[[#This Row],[Reorder_Level]],"Reoeder required","Sufficient")</f>
        <v>Reoeder required</v>
      </c>
      <c r="P146" t="str">
        <f>IF(Table1[[#This Row],[Stock_Quantity]]=0,"Out of stock","Available")</f>
        <v>Available</v>
      </c>
    </row>
    <row r="147" spans="1:16" x14ac:dyDescent="0.3">
      <c r="A147" t="s">
        <v>510</v>
      </c>
      <c r="B147" t="s">
        <v>408</v>
      </c>
      <c r="C147" t="s">
        <v>99</v>
      </c>
      <c r="D147" t="s">
        <v>511</v>
      </c>
      <c r="E147">
        <v>31</v>
      </c>
      <c r="F147">
        <v>87</v>
      </c>
      <c r="G147">
        <v>19</v>
      </c>
      <c r="H147" s="1">
        <v>8</v>
      </c>
      <c r="I147" s="2">
        <v>45486</v>
      </c>
      <c r="J147" t="s">
        <v>512</v>
      </c>
      <c r="K147">
        <v>41</v>
      </c>
      <c r="L147" t="str">
        <f>IF(Table1[[#This Row],[Sales_Volume]]&gt;Table1[[#This Row],[Stock_Quantity]],"Pending","Fulfilled")</f>
        <v>Pending</v>
      </c>
      <c r="M147">
        <v>3</v>
      </c>
      <c r="N147">
        <v>10</v>
      </c>
      <c r="O147" t="str">
        <f>IF(Table1[[#This Row],[Stock_Quantity]]&lt;=Table1[[#This Row],[Reorder_Level]],"Reoeder required","Sufficient")</f>
        <v>Reoeder required</v>
      </c>
      <c r="P147" t="str">
        <f>IF(Table1[[#This Row],[Stock_Quantity]]=0,"Out of stock","Available")</f>
        <v>Available</v>
      </c>
    </row>
    <row r="148" spans="1:16" x14ac:dyDescent="0.3">
      <c r="A148" t="s">
        <v>513</v>
      </c>
      <c r="B148" t="s">
        <v>514</v>
      </c>
      <c r="C148" t="s">
        <v>18</v>
      </c>
      <c r="D148" t="s">
        <v>515</v>
      </c>
      <c r="E148">
        <v>63</v>
      </c>
      <c r="F148">
        <v>92</v>
      </c>
      <c r="G148">
        <v>26</v>
      </c>
      <c r="H148" s="1">
        <v>8</v>
      </c>
      <c r="I148" s="2">
        <v>45700</v>
      </c>
      <c r="J148" t="s">
        <v>516</v>
      </c>
      <c r="K148">
        <v>93</v>
      </c>
      <c r="L148" t="str">
        <f>IF(Table1[[#This Row],[Sales_Volume]]&gt;Table1[[#This Row],[Stock_Quantity]],"Pending","Fulfilled")</f>
        <v>Pending</v>
      </c>
      <c r="M148">
        <v>3</v>
      </c>
      <c r="N148">
        <v>99</v>
      </c>
      <c r="O148" t="str">
        <f>IF(Table1[[#This Row],[Stock_Quantity]]&lt;=Table1[[#This Row],[Reorder_Level]],"Reoeder required","Sufficient")</f>
        <v>Reoeder required</v>
      </c>
      <c r="P148" t="str">
        <f>IF(Table1[[#This Row],[Stock_Quantity]]=0,"Out of stock","Available")</f>
        <v>Available</v>
      </c>
    </row>
    <row r="149" spans="1:16" x14ac:dyDescent="0.3">
      <c r="A149" t="s">
        <v>517</v>
      </c>
      <c r="B149" t="s">
        <v>232</v>
      </c>
      <c r="C149" t="s">
        <v>99</v>
      </c>
      <c r="D149" t="s">
        <v>456</v>
      </c>
      <c r="E149">
        <v>73</v>
      </c>
      <c r="F149">
        <v>31</v>
      </c>
      <c r="G149">
        <v>49</v>
      </c>
      <c r="H149" s="1">
        <v>6</v>
      </c>
      <c r="I149" s="2">
        <v>45353</v>
      </c>
      <c r="J149" t="s">
        <v>518</v>
      </c>
      <c r="K149">
        <v>22</v>
      </c>
      <c r="L149" t="str">
        <f>IF(Table1[[#This Row],[Sales_Volume]]&gt;Table1[[#This Row],[Stock_Quantity]],"Pending","Fulfilled")</f>
        <v>Fulfilled</v>
      </c>
      <c r="M149">
        <v>4</v>
      </c>
      <c r="N149">
        <v>47</v>
      </c>
      <c r="O149" t="str">
        <f>IF(Table1[[#This Row],[Stock_Quantity]]&lt;=Table1[[#This Row],[Reorder_Level]],"Reoeder required","Sufficient")</f>
        <v>Sufficient</v>
      </c>
      <c r="P149" t="str">
        <f>IF(Table1[[#This Row],[Stock_Quantity]]=0,"Out of stock","Available")</f>
        <v>Available</v>
      </c>
    </row>
    <row r="150" spans="1:16" x14ac:dyDescent="0.3">
      <c r="A150" t="s">
        <v>519</v>
      </c>
      <c r="B150" t="s">
        <v>204</v>
      </c>
      <c r="C150" t="s">
        <v>65</v>
      </c>
      <c r="D150" t="s">
        <v>400</v>
      </c>
      <c r="E150">
        <v>12</v>
      </c>
      <c r="F150">
        <v>86</v>
      </c>
      <c r="G150">
        <v>98</v>
      </c>
      <c r="H150" s="1">
        <v>4</v>
      </c>
      <c r="I150" s="2">
        <v>45472</v>
      </c>
      <c r="J150" t="s">
        <v>520</v>
      </c>
      <c r="K150">
        <v>75</v>
      </c>
      <c r="L150" t="str">
        <f>IF(Table1[[#This Row],[Sales_Volume]]&gt;Table1[[#This Row],[Stock_Quantity]],"Pending","Fulfilled")</f>
        <v>Pending</v>
      </c>
      <c r="M150">
        <v>4</v>
      </c>
      <c r="N150">
        <v>86</v>
      </c>
      <c r="O150" t="str">
        <f>IF(Table1[[#This Row],[Stock_Quantity]]&lt;=Table1[[#This Row],[Reorder_Level]],"Reoeder required","Sufficient")</f>
        <v>Reoeder required</v>
      </c>
      <c r="P150" t="str">
        <f>IF(Table1[[#This Row],[Stock_Quantity]]=0,"Out of stock","Available")</f>
        <v>Available</v>
      </c>
    </row>
    <row r="151" spans="1:16" x14ac:dyDescent="0.3">
      <c r="A151" t="s">
        <v>521</v>
      </c>
      <c r="B151" t="s">
        <v>168</v>
      </c>
      <c r="C151" t="s">
        <v>13</v>
      </c>
      <c r="D151" t="s">
        <v>522</v>
      </c>
      <c r="E151">
        <v>53</v>
      </c>
      <c r="F151">
        <v>86</v>
      </c>
      <c r="G151">
        <v>54</v>
      </c>
      <c r="H151" s="1">
        <v>3</v>
      </c>
      <c r="I151" s="2">
        <v>45692</v>
      </c>
      <c r="J151" t="s">
        <v>523</v>
      </c>
      <c r="K151">
        <v>44</v>
      </c>
      <c r="L151" t="str">
        <f>IF(Table1[[#This Row],[Sales_Volume]]&gt;Table1[[#This Row],[Stock_Quantity]],"Pending","Fulfilled")</f>
        <v>Fulfilled</v>
      </c>
      <c r="M151">
        <v>8</v>
      </c>
      <c r="N151">
        <v>3</v>
      </c>
      <c r="O151" t="str">
        <f>IF(Table1[[#This Row],[Stock_Quantity]]&lt;=Table1[[#This Row],[Reorder_Level]],"Reoeder required","Sufficient")</f>
        <v>Reoeder required</v>
      </c>
      <c r="P151" t="str">
        <f>IF(Table1[[#This Row],[Stock_Quantity]]=0,"Out of stock","Available")</f>
        <v>Available</v>
      </c>
    </row>
    <row r="152" spans="1:16" x14ac:dyDescent="0.3">
      <c r="A152" t="s">
        <v>524</v>
      </c>
      <c r="B152" t="s">
        <v>525</v>
      </c>
      <c r="C152" t="s">
        <v>13</v>
      </c>
      <c r="D152" t="s">
        <v>526</v>
      </c>
      <c r="E152">
        <v>68</v>
      </c>
      <c r="F152">
        <v>7</v>
      </c>
      <c r="G152">
        <v>37</v>
      </c>
      <c r="H152" s="1">
        <v>2.5</v>
      </c>
      <c r="I152" s="2">
        <v>45393</v>
      </c>
      <c r="J152" t="s">
        <v>527</v>
      </c>
      <c r="K152">
        <v>69</v>
      </c>
      <c r="L152" t="str">
        <f>IF(Table1[[#This Row],[Sales_Volume]]&gt;Table1[[#This Row],[Stock_Quantity]],"Pending","Fulfilled")</f>
        <v>Pending</v>
      </c>
      <c r="M152">
        <v>1</v>
      </c>
      <c r="N152">
        <v>1</v>
      </c>
      <c r="O152" t="str">
        <f>IF(Table1[[#This Row],[Stock_Quantity]]&lt;=Table1[[#This Row],[Reorder_Level]],"Reoeder required","Sufficient")</f>
        <v>Sufficient</v>
      </c>
      <c r="P152" t="str">
        <f>IF(Table1[[#This Row],[Stock_Quantity]]=0,"Out of stock","Available")</f>
        <v>Available</v>
      </c>
    </row>
    <row r="153" spans="1:16" x14ac:dyDescent="0.3">
      <c r="A153" t="s">
        <v>528</v>
      </c>
      <c r="B153" t="s">
        <v>84</v>
      </c>
      <c r="C153" t="s">
        <v>45</v>
      </c>
      <c r="D153" t="s">
        <v>529</v>
      </c>
      <c r="E153">
        <v>80</v>
      </c>
      <c r="F153">
        <v>9</v>
      </c>
      <c r="G153">
        <v>29</v>
      </c>
      <c r="H153" s="1">
        <v>8.1</v>
      </c>
      <c r="I153" s="2">
        <v>45616</v>
      </c>
      <c r="J153" t="s">
        <v>530</v>
      </c>
      <c r="K153">
        <v>54</v>
      </c>
      <c r="L153" t="str">
        <f>IF(Table1[[#This Row],[Sales_Volume]]&gt;Table1[[#This Row],[Stock_Quantity]],"Pending","Fulfilled")</f>
        <v>Fulfilled</v>
      </c>
      <c r="M153">
        <v>7</v>
      </c>
      <c r="N153">
        <v>62</v>
      </c>
      <c r="O153" t="str">
        <f>IF(Table1[[#This Row],[Stock_Quantity]]&lt;=Table1[[#This Row],[Reorder_Level]],"Reoeder required","Sufficient")</f>
        <v>Sufficient</v>
      </c>
      <c r="P153" t="str">
        <f>IF(Table1[[#This Row],[Stock_Quantity]]=0,"Out of stock","Available")</f>
        <v>Available</v>
      </c>
    </row>
    <row r="154" spans="1:16" x14ac:dyDescent="0.3">
      <c r="A154" t="s">
        <v>531</v>
      </c>
      <c r="B154" t="s">
        <v>478</v>
      </c>
      <c r="C154" t="s">
        <v>99</v>
      </c>
      <c r="D154" t="s">
        <v>532</v>
      </c>
      <c r="E154">
        <v>92</v>
      </c>
      <c r="F154">
        <v>68</v>
      </c>
      <c r="G154">
        <v>79</v>
      </c>
      <c r="H154" s="1">
        <v>18</v>
      </c>
      <c r="I154" s="2">
        <v>45522</v>
      </c>
      <c r="J154" t="s">
        <v>533</v>
      </c>
      <c r="K154">
        <v>40</v>
      </c>
      <c r="L154" t="str">
        <f>IF(Table1[[#This Row],[Sales_Volume]]&gt;Table1[[#This Row],[Stock_Quantity]],"Pending","Fulfilled")</f>
        <v>Fulfilled</v>
      </c>
      <c r="M154">
        <v>5</v>
      </c>
      <c r="N154">
        <v>57</v>
      </c>
      <c r="O154" t="str">
        <f>IF(Table1[[#This Row],[Stock_Quantity]]&lt;=Table1[[#This Row],[Reorder_Level]],"Reoeder required","Sufficient")</f>
        <v>Sufficient</v>
      </c>
      <c r="P154" t="str">
        <f>IF(Table1[[#This Row],[Stock_Quantity]]=0,"Out of stock","Available")</f>
        <v>Available</v>
      </c>
    </row>
    <row r="155" spans="1:16" x14ac:dyDescent="0.3">
      <c r="A155" t="s">
        <v>534</v>
      </c>
      <c r="B155" t="s">
        <v>134</v>
      </c>
      <c r="C155" t="s">
        <v>31</v>
      </c>
      <c r="D155" t="s">
        <v>273</v>
      </c>
      <c r="E155">
        <v>31</v>
      </c>
      <c r="F155">
        <v>98</v>
      </c>
      <c r="G155">
        <v>72</v>
      </c>
      <c r="H155" s="1">
        <v>1.8</v>
      </c>
      <c r="I155" s="2">
        <v>45572</v>
      </c>
      <c r="J155" t="s">
        <v>535</v>
      </c>
      <c r="K155">
        <v>91</v>
      </c>
      <c r="L155" t="str">
        <f>IF(Table1[[#This Row],[Sales_Volume]]&gt;Table1[[#This Row],[Stock_Quantity]],"Pending","Fulfilled")</f>
        <v>Pending</v>
      </c>
      <c r="M155">
        <v>5</v>
      </c>
      <c r="N155">
        <v>29</v>
      </c>
      <c r="O155" t="str">
        <f>IF(Table1[[#This Row],[Stock_Quantity]]&lt;=Table1[[#This Row],[Reorder_Level]],"Reoeder required","Sufficient")</f>
        <v>Reoeder required</v>
      </c>
      <c r="P155" t="str">
        <f>IF(Table1[[#This Row],[Stock_Quantity]]=0,"Out of stock","Available")</f>
        <v>Available</v>
      </c>
    </row>
    <row r="156" spans="1:16" x14ac:dyDescent="0.3">
      <c r="A156" t="s">
        <v>536</v>
      </c>
      <c r="B156" t="s">
        <v>272</v>
      </c>
      <c r="C156" t="s">
        <v>31</v>
      </c>
      <c r="D156" t="s">
        <v>32</v>
      </c>
      <c r="E156">
        <v>31</v>
      </c>
      <c r="F156">
        <v>44</v>
      </c>
      <c r="G156">
        <v>9</v>
      </c>
      <c r="H156" s="1">
        <v>3</v>
      </c>
      <c r="I156" s="2">
        <v>45428</v>
      </c>
      <c r="J156" t="s">
        <v>537</v>
      </c>
      <c r="K156">
        <v>46</v>
      </c>
      <c r="L156" t="str">
        <f>IF(Table1[[#This Row],[Sales_Volume]]&gt;Table1[[#This Row],[Stock_Quantity]],"Pending","Fulfilled")</f>
        <v>Pending</v>
      </c>
      <c r="M156">
        <v>5</v>
      </c>
      <c r="N156">
        <v>9</v>
      </c>
      <c r="O156" t="str">
        <f>IF(Table1[[#This Row],[Stock_Quantity]]&lt;=Table1[[#This Row],[Reorder_Level]],"Reoeder required","Sufficient")</f>
        <v>Reoeder required</v>
      </c>
      <c r="P156" t="str">
        <f>IF(Table1[[#This Row],[Stock_Quantity]]=0,"Out of stock","Available")</f>
        <v>Available</v>
      </c>
    </row>
    <row r="157" spans="1:16" x14ac:dyDescent="0.3">
      <c r="A157" t="s">
        <v>538</v>
      </c>
      <c r="B157" t="s">
        <v>356</v>
      </c>
      <c r="C157" t="s">
        <v>31</v>
      </c>
      <c r="D157" t="s">
        <v>539</v>
      </c>
      <c r="E157">
        <v>76</v>
      </c>
      <c r="F157">
        <v>97</v>
      </c>
      <c r="G157">
        <v>20</v>
      </c>
      <c r="H157" s="1">
        <v>7</v>
      </c>
      <c r="I157" s="2">
        <v>45528</v>
      </c>
      <c r="J157" t="s">
        <v>540</v>
      </c>
      <c r="K157">
        <v>52</v>
      </c>
      <c r="L157" t="str">
        <f>IF(Table1[[#This Row],[Sales_Volume]]&gt;Table1[[#This Row],[Stock_Quantity]],"Pending","Fulfilled")</f>
        <v>Fulfilled</v>
      </c>
      <c r="M157">
        <v>2</v>
      </c>
      <c r="N157">
        <v>82</v>
      </c>
      <c r="O157" t="str">
        <f>IF(Table1[[#This Row],[Stock_Quantity]]&lt;=Table1[[#This Row],[Reorder_Level]],"Reoeder required","Sufficient")</f>
        <v>Reoeder required</v>
      </c>
      <c r="P157" t="str">
        <f>IF(Table1[[#This Row],[Stock_Quantity]]=0,"Out of stock","Available")</f>
        <v>Available</v>
      </c>
    </row>
    <row r="158" spans="1:16" x14ac:dyDescent="0.3">
      <c r="A158" t="s">
        <v>541</v>
      </c>
      <c r="B158" t="s">
        <v>542</v>
      </c>
      <c r="C158" t="s">
        <v>40</v>
      </c>
      <c r="D158" t="s">
        <v>543</v>
      </c>
      <c r="E158">
        <v>57</v>
      </c>
      <c r="F158">
        <v>99</v>
      </c>
      <c r="G158">
        <v>23</v>
      </c>
      <c r="H158" s="1">
        <v>2</v>
      </c>
      <c r="I158" s="2">
        <v>45437</v>
      </c>
      <c r="J158" t="s">
        <v>544</v>
      </c>
      <c r="K158">
        <v>89</v>
      </c>
      <c r="L158" t="str">
        <f>IF(Table1[[#This Row],[Sales_Volume]]&gt;Table1[[#This Row],[Stock_Quantity]],"Pending","Fulfilled")</f>
        <v>Pending</v>
      </c>
      <c r="M158">
        <v>1</v>
      </c>
      <c r="N158">
        <v>21</v>
      </c>
      <c r="O158" t="str">
        <f>IF(Table1[[#This Row],[Stock_Quantity]]&lt;=Table1[[#This Row],[Reorder_Level]],"Reoeder required","Sufficient")</f>
        <v>Reoeder required</v>
      </c>
      <c r="P158" t="str">
        <f>IF(Table1[[#This Row],[Stock_Quantity]]=0,"Out of stock","Available")</f>
        <v>Available</v>
      </c>
    </row>
    <row r="159" spans="1:16" x14ac:dyDescent="0.3">
      <c r="A159" t="s">
        <v>545</v>
      </c>
      <c r="B159" t="s">
        <v>381</v>
      </c>
      <c r="C159" t="s">
        <v>45</v>
      </c>
      <c r="D159" t="s">
        <v>546</v>
      </c>
      <c r="E159">
        <v>92</v>
      </c>
      <c r="F159">
        <v>99</v>
      </c>
      <c r="G159">
        <v>93</v>
      </c>
      <c r="H159" s="1">
        <v>4</v>
      </c>
      <c r="I159" s="2">
        <v>45486</v>
      </c>
      <c r="J159" t="s">
        <v>547</v>
      </c>
      <c r="K159">
        <v>43</v>
      </c>
      <c r="L159" t="str">
        <f>IF(Table1[[#This Row],[Sales_Volume]]&gt;Table1[[#This Row],[Stock_Quantity]],"Pending","Fulfilled")</f>
        <v>Fulfilled</v>
      </c>
      <c r="M159">
        <v>1</v>
      </c>
      <c r="N159">
        <v>90</v>
      </c>
      <c r="O159" t="str">
        <f>IF(Table1[[#This Row],[Stock_Quantity]]&lt;=Table1[[#This Row],[Reorder_Level]],"Reoeder required","Sufficient")</f>
        <v>Reoeder required</v>
      </c>
      <c r="P159" t="str">
        <f>IF(Table1[[#This Row],[Stock_Quantity]]=0,"Out of stock","Available")</f>
        <v>Available</v>
      </c>
    </row>
    <row r="160" spans="1:16" x14ac:dyDescent="0.3">
      <c r="A160" t="s">
        <v>548</v>
      </c>
      <c r="B160" t="s">
        <v>549</v>
      </c>
      <c r="C160" t="s">
        <v>45</v>
      </c>
      <c r="D160" t="s">
        <v>550</v>
      </c>
      <c r="E160">
        <v>88</v>
      </c>
      <c r="F160">
        <v>74</v>
      </c>
      <c r="G160">
        <v>97</v>
      </c>
      <c r="H160" s="1">
        <v>9</v>
      </c>
      <c r="I160" s="2">
        <v>45443</v>
      </c>
      <c r="J160" t="s">
        <v>551</v>
      </c>
      <c r="K160">
        <v>79</v>
      </c>
      <c r="L160" t="str">
        <f>IF(Table1[[#This Row],[Sales_Volume]]&gt;Table1[[#This Row],[Stock_Quantity]],"Pending","Fulfilled")</f>
        <v>Fulfilled</v>
      </c>
      <c r="M160">
        <v>8</v>
      </c>
      <c r="N160">
        <v>5</v>
      </c>
      <c r="O160" t="str">
        <f>IF(Table1[[#This Row],[Stock_Quantity]]&lt;=Table1[[#This Row],[Reorder_Level]],"Reoeder required","Sufficient")</f>
        <v>Sufficient</v>
      </c>
      <c r="P160" t="str">
        <f>IF(Table1[[#This Row],[Stock_Quantity]]=0,"Out of stock","Available")</f>
        <v>Available</v>
      </c>
    </row>
    <row r="161" spans="1:16" x14ac:dyDescent="0.3">
      <c r="A161" t="s">
        <v>552</v>
      </c>
      <c r="B161" t="s">
        <v>405</v>
      </c>
      <c r="C161" t="s">
        <v>31</v>
      </c>
      <c r="D161" t="s">
        <v>553</v>
      </c>
      <c r="E161">
        <v>99</v>
      </c>
      <c r="F161">
        <v>8</v>
      </c>
      <c r="G161">
        <v>27</v>
      </c>
      <c r="H161" s="1">
        <v>5</v>
      </c>
      <c r="I161" s="2">
        <v>45486</v>
      </c>
      <c r="J161" t="s">
        <v>554</v>
      </c>
      <c r="K161">
        <v>41</v>
      </c>
      <c r="L161" t="str">
        <f>IF(Table1[[#This Row],[Sales_Volume]]&gt;Table1[[#This Row],[Stock_Quantity]],"Pending","Fulfilled")</f>
        <v>Fulfilled</v>
      </c>
      <c r="M161">
        <v>2</v>
      </c>
      <c r="N161">
        <v>50</v>
      </c>
      <c r="O161" t="str">
        <f>IF(Table1[[#This Row],[Stock_Quantity]]&lt;=Table1[[#This Row],[Reorder_Level]],"Reoeder required","Sufficient")</f>
        <v>Sufficient</v>
      </c>
      <c r="P161" t="str">
        <f>IF(Table1[[#This Row],[Stock_Quantity]]=0,"Out of stock","Available")</f>
        <v>Available</v>
      </c>
    </row>
    <row r="162" spans="1:16" x14ac:dyDescent="0.3">
      <c r="A162" t="s">
        <v>555</v>
      </c>
      <c r="B162" t="s">
        <v>556</v>
      </c>
      <c r="C162" t="s">
        <v>45</v>
      </c>
      <c r="D162" t="s">
        <v>557</v>
      </c>
      <c r="E162">
        <v>44</v>
      </c>
      <c r="F162">
        <v>84</v>
      </c>
      <c r="G162">
        <v>63</v>
      </c>
      <c r="H162" s="1">
        <v>2.5</v>
      </c>
      <c r="I162" s="2">
        <v>45393</v>
      </c>
      <c r="J162" t="s">
        <v>558</v>
      </c>
      <c r="K162">
        <v>51</v>
      </c>
      <c r="L162" t="str">
        <f>IF(Table1[[#This Row],[Sales_Volume]]&gt;Table1[[#This Row],[Stock_Quantity]],"Pending","Fulfilled")</f>
        <v>Pending</v>
      </c>
      <c r="M162">
        <v>5</v>
      </c>
      <c r="N162">
        <v>67</v>
      </c>
      <c r="O162" t="str">
        <f>IF(Table1[[#This Row],[Stock_Quantity]]&lt;=Table1[[#This Row],[Reorder_Level]],"Reoeder required","Sufficient")</f>
        <v>Reoeder required</v>
      </c>
      <c r="P162" t="str">
        <f>IF(Table1[[#This Row],[Stock_Quantity]]=0,"Out of stock","Available")</f>
        <v>Available</v>
      </c>
    </row>
    <row r="163" spans="1:16" x14ac:dyDescent="0.3">
      <c r="A163" t="s">
        <v>559</v>
      </c>
      <c r="B163" t="s">
        <v>146</v>
      </c>
      <c r="C163" t="s">
        <v>18</v>
      </c>
      <c r="D163" t="s">
        <v>560</v>
      </c>
      <c r="E163">
        <v>48</v>
      </c>
      <c r="F163">
        <v>77</v>
      </c>
      <c r="G163">
        <v>81</v>
      </c>
      <c r="H163" s="1">
        <v>31</v>
      </c>
      <c r="I163" s="2">
        <v>45570</v>
      </c>
      <c r="J163" t="s">
        <v>561</v>
      </c>
      <c r="K163">
        <v>70</v>
      </c>
      <c r="L163" t="str">
        <f>IF(Table1[[#This Row],[Sales_Volume]]&gt;Table1[[#This Row],[Stock_Quantity]],"Pending","Fulfilled")</f>
        <v>Pending</v>
      </c>
      <c r="M163">
        <v>8</v>
      </c>
      <c r="N163">
        <v>74</v>
      </c>
      <c r="O163" t="str">
        <f>IF(Table1[[#This Row],[Stock_Quantity]]&lt;=Table1[[#This Row],[Reorder_Level]],"Reoeder required","Sufficient")</f>
        <v>Reoeder required</v>
      </c>
      <c r="P163" t="str">
        <f>IF(Table1[[#This Row],[Stock_Quantity]]=0,"Out of stock","Available")</f>
        <v>Available</v>
      </c>
    </row>
    <row r="164" spans="1:16" x14ac:dyDescent="0.3">
      <c r="A164" t="s">
        <v>562</v>
      </c>
      <c r="B164" t="s">
        <v>563</v>
      </c>
      <c r="C164" t="s">
        <v>40</v>
      </c>
      <c r="D164" t="s">
        <v>382</v>
      </c>
      <c r="E164">
        <v>27</v>
      </c>
      <c r="F164">
        <v>92</v>
      </c>
      <c r="G164">
        <v>56</v>
      </c>
      <c r="H164" s="1">
        <v>6.5</v>
      </c>
      <c r="I164" s="2">
        <v>45584</v>
      </c>
      <c r="J164" t="s">
        <v>564</v>
      </c>
      <c r="K164">
        <v>29</v>
      </c>
      <c r="L164" t="str">
        <f>IF(Table1[[#This Row],[Sales_Volume]]&gt;Table1[[#This Row],[Stock_Quantity]],"Pending","Fulfilled")</f>
        <v>Pending</v>
      </c>
      <c r="M164">
        <v>4</v>
      </c>
      <c r="N164">
        <v>32</v>
      </c>
      <c r="O164" t="str">
        <f>IF(Table1[[#This Row],[Stock_Quantity]]&lt;=Table1[[#This Row],[Reorder_Level]],"Reoeder required","Sufficient")</f>
        <v>Reoeder required</v>
      </c>
      <c r="P164" t="str">
        <f>IF(Table1[[#This Row],[Stock_Quantity]]=0,"Out of stock","Available")</f>
        <v>Available</v>
      </c>
    </row>
    <row r="165" spans="1:16" x14ac:dyDescent="0.3">
      <c r="A165" t="s">
        <v>565</v>
      </c>
      <c r="B165" t="s">
        <v>22</v>
      </c>
      <c r="C165" t="s">
        <v>13</v>
      </c>
      <c r="D165" t="s">
        <v>566</v>
      </c>
      <c r="E165">
        <v>34</v>
      </c>
      <c r="F165">
        <v>96</v>
      </c>
      <c r="G165">
        <v>76</v>
      </c>
      <c r="H165" s="1">
        <v>6.15</v>
      </c>
      <c r="I165" s="2">
        <v>45632</v>
      </c>
      <c r="J165" t="s">
        <v>567</v>
      </c>
      <c r="K165">
        <v>90</v>
      </c>
      <c r="L165" t="str">
        <f>IF(Table1[[#This Row],[Sales_Volume]]&gt;Table1[[#This Row],[Stock_Quantity]],"Pending","Fulfilled")</f>
        <v>Pending</v>
      </c>
      <c r="M165">
        <v>6</v>
      </c>
      <c r="N165">
        <v>34</v>
      </c>
      <c r="O165" t="str">
        <f>IF(Table1[[#This Row],[Stock_Quantity]]&lt;=Table1[[#This Row],[Reorder_Level]],"Reoeder required","Sufficient")</f>
        <v>Reoeder required</v>
      </c>
      <c r="P165" t="str">
        <f>IF(Table1[[#This Row],[Stock_Quantity]]=0,"Out of stock","Available")</f>
        <v>Available</v>
      </c>
    </row>
    <row r="166" spans="1:16" x14ac:dyDescent="0.3">
      <c r="A166" t="s">
        <v>568</v>
      </c>
      <c r="B166" t="s">
        <v>211</v>
      </c>
      <c r="C166" t="s">
        <v>31</v>
      </c>
      <c r="D166" t="s">
        <v>201</v>
      </c>
      <c r="E166">
        <v>41</v>
      </c>
      <c r="F166">
        <v>94</v>
      </c>
      <c r="G166">
        <v>4</v>
      </c>
      <c r="H166" s="1">
        <v>3</v>
      </c>
      <c r="I166" s="2">
        <v>45499</v>
      </c>
      <c r="J166" t="s">
        <v>569</v>
      </c>
      <c r="K166">
        <v>88</v>
      </c>
      <c r="L166" t="str">
        <f>IF(Table1[[#This Row],[Sales_Volume]]&gt;Table1[[#This Row],[Stock_Quantity]],"Pending","Fulfilled")</f>
        <v>Pending</v>
      </c>
      <c r="M166">
        <v>7</v>
      </c>
      <c r="N166">
        <v>92</v>
      </c>
      <c r="O166" t="str">
        <f>IF(Table1[[#This Row],[Stock_Quantity]]&lt;=Table1[[#This Row],[Reorder_Level]],"Reoeder required","Sufficient")</f>
        <v>Reoeder required</v>
      </c>
      <c r="P166" t="str">
        <f>IF(Table1[[#This Row],[Stock_Quantity]]=0,"Out of stock","Available")</f>
        <v>Available</v>
      </c>
    </row>
    <row r="167" spans="1:16" x14ac:dyDescent="0.3">
      <c r="A167" t="s">
        <v>570</v>
      </c>
      <c r="B167" t="s">
        <v>243</v>
      </c>
      <c r="C167" t="s">
        <v>18</v>
      </c>
      <c r="D167" t="s">
        <v>32</v>
      </c>
      <c r="E167">
        <v>56</v>
      </c>
      <c r="F167">
        <v>12</v>
      </c>
      <c r="G167">
        <v>85</v>
      </c>
      <c r="H167" s="1">
        <v>5</v>
      </c>
      <c r="I167" s="2">
        <v>45371</v>
      </c>
      <c r="J167" t="s">
        <v>571</v>
      </c>
      <c r="K167">
        <v>52</v>
      </c>
      <c r="L167" t="str">
        <f>IF(Table1[[#This Row],[Sales_Volume]]&gt;Table1[[#This Row],[Stock_Quantity]],"Pending","Fulfilled")</f>
        <v>Fulfilled</v>
      </c>
      <c r="M167">
        <v>7</v>
      </c>
      <c r="N167">
        <v>46</v>
      </c>
      <c r="O167" t="str">
        <f>IF(Table1[[#This Row],[Stock_Quantity]]&lt;=Table1[[#This Row],[Reorder_Level]],"Reoeder required","Sufficient")</f>
        <v>Sufficient</v>
      </c>
      <c r="P167" t="str">
        <f>IF(Table1[[#This Row],[Stock_Quantity]]=0,"Out of stock","Available")</f>
        <v>Available</v>
      </c>
    </row>
    <row r="168" spans="1:16" x14ac:dyDescent="0.3">
      <c r="A168" t="s">
        <v>572</v>
      </c>
      <c r="B168" t="s">
        <v>573</v>
      </c>
      <c r="C168" t="s">
        <v>31</v>
      </c>
      <c r="D168" t="s">
        <v>574</v>
      </c>
      <c r="E168">
        <v>22</v>
      </c>
      <c r="F168">
        <v>40</v>
      </c>
      <c r="G168">
        <v>7</v>
      </c>
      <c r="H168" s="1">
        <v>5</v>
      </c>
      <c r="I168" s="2">
        <v>45657</v>
      </c>
      <c r="J168" t="s">
        <v>575</v>
      </c>
      <c r="K168">
        <v>98</v>
      </c>
      <c r="L168" t="str">
        <f>IF(Table1[[#This Row],[Sales_Volume]]&gt;Table1[[#This Row],[Stock_Quantity]],"Pending","Fulfilled")</f>
        <v>Pending</v>
      </c>
      <c r="M168">
        <v>8</v>
      </c>
      <c r="N168">
        <v>60</v>
      </c>
      <c r="O168" t="str">
        <f>IF(Table1[[#This Row],[Stock_Quantity]]&lt;=Table1[[#This Row],[Reorder_Level]],"Reoeder required","Sufficient")</f>
        <v>Reoeder required</v>
      </c>
      <c r="P168" t="str">
        <f>IF(Table1[[#This Row],[Stock_Quantity]]=0,"Out of stock","Available")</f>
        <v>Available</v>
      </c>
    </row>
    <row r="169" spans="1:16" x14ac:dyDescent="0.3">
      <c r="A169" t="s">
        <v>576</v>
      </c>
      <c r="B169" t="s">
        <v>350</v>
      </c>
      <c r="C169" t="s">
        <v>40</v>
      </c>
      <c r="D169" t="s">
        <v>577</v>
      </c>
      <c r="E169">
        <v>40</v>
      </c>
      <c r="F169">
        <v>2</v>
      </c>
      <c r="G169">
        <v>58</v>
      </c>
      <c r="H169" s="1">
        <v>1.8</v>
      </c>
      <c r="I169" s="2">
        <v>45517</v>
      </c>
      <c r="J169" t="s">
        <v>578</v>
      </c>
      <c r="K169">
        <v>71</v>
      </c>
      <c r="L169" t="str">
        <f>IF(Table1[[#This Row],[Sales_Volume]]&gt;Table1[[#This Row],[Stock_Quantity]],"Pending","Fulfilled")</f>
        <v>Pending</v>
      </c>
      <c r="M169">
        <v>8</v>
      </c>
      <c r="N169">
        <v>10</v>
      </c>
      <c r="O169" t="str">
        <f>IF(Table1[[#This Row],[Stock_Quantity]]&lt;=Table1[[#This Row],[Reorder_Level]],"Reoeder required","Sufficient")</f>
        <v>Sufficient</v>
      </c>
      <c r="P169" t="str">
        <f>IF(Table1[[#This Row],[Stock_Quantity]]=0,"Out of stock","Available")</f>
        <v>Available</v>
      </c>
    </row>
    <row r="170" spans="1:16" x14ac:dyDescent="0.3">
      <c r="A170" t="s">
        <v>579</v>
      </c>
      <c r="B170" t="s">
        <v>84</v>
      </c>
      <c r="C170" t="s">
        <v>45</v>
      </c>
      <c r="D170" t="s">
        <v>580</v>
      </c>
      <c r="E170">
        <v>50</v>
      </c>
      <c r="F170">
        <v>99</v>
      </c>
      <c r="G170">
        <v>73</v>
      </c>
      <c r="H170" s="1">
        <v>8</v>
      </c>
      <c r="I170" s="2">
        <v>45527</v>
      </c>
      <c r="J170" t="s">
        <v>581</v>
      </c>
      <c r="K170">
        <v>42</v>
      </c>
      <c r="L170" t="str">
        <f>IF(Table1[[#This Row],[Sales_Volume]]&gt;Table1[[#This Row],[Stock_Quantity]],"Pending","Fulfilled")</f>
        <v>Fulfilled</v>
      </c>
      <c r="M170">
        <v>2</v>
      </c>
      <c r="N170">
        <v>1</v>
      </c>
      <c r="O170" t="str">
        <f>IF(Table1[[#This Row],[Stock_Quantity]]&lt;=Table1[[#This Row],[Reorder_Level]],"Reoeder required","Sufficient")</f>
        <v>Reoeder required</v>
      </c>
      <c r="P170" t="str">
        <f>IF(Table1[[#This Row],[Stock_Quantity]]=0,"Out of stock","Available")</f>
        <v>Available</v>
      </c>
    </row>
    <row r="171" spans="1:16" x14ac:dyDescent="0.3">
      <c r="A171" t="s">
        <v>582</v>
      </c>
      <c r="B171" t="s">
        <v>172</v>
      </c>
      <c r="C171" t="s">
        <v>31</v>
      </c>
      <c r="D171" t="s">
        <v>583</v>
      </c>
      <c r="E171">
        <v>89</v>
      </c>
      <c r="F171">
        <v>92</v>
      </c>
      <c r="G171">
        <v>62</v>
      </c>
      <c r="H171" s="1">
        <v>4.8</v>
      </c>
      <c r="I171" s="2">
        <v>45481</v>
      </c>
      <c r="J171" t="s">
        <v>584</v>
      </c>
      <c r="K171">
        <v>46</v>
      </c>
      <c r="L171" t="str">
        <f>IF(Table1[[#This Row],[Sales_Volume]]&gt;Table1[[#This Row],[Stock_Quantity]],"Pending","Fulfilled")</f>
        <v>Fulfilled</v>
      </c>
      <c r="M171">
        <v>4</v>
      </c>
      <c r="N171">
        <v>11</v>
      </c>
      <c r="O171" t="str">
        <f>IF(Table1[[#This Row],[Stock_Quantity]]&lt;=Table1[[#This Row],[Reorder_Level]],"Reoeder required","Sufficient")</f>
        <v>Reoeder required</v>
      </c>
      <c r="P171" t="str">
        <f>IF(Table1[[#This Row],[Stock_Quantity]]=0,"Out of stock","Available")</f>
        <v>Available</v>
      </c>
    </row>
    <row r="172" spans="1:16" x14ac:dyDescent="0.3">
      <c r="A172" t="s">
        <v>585</v>
      </c>
      <c r="B172" t="s">
        <v>556</v>
      </c>
      <c r="C172" t="s">
        <v>45</v>
      </c>
      <c r="D172" t="s">
        <v>335</v>
      </c>
      <c r="E172">
        <v>76</v>
      </c>
      <c r="F172">
        <v>54</v>
      </c>
      <c r="G172">
        <v>76</v>
      </c>
      <c r="H172" s="1">
        <v>2.5</v>
      </c>
      <c r="I172" s="2">
        <v>45521</v>
      </c>
      <c r="J172" t="s">
        <v>586</v>
      </c>
      <c r="K172">
        <v>69</v>
      </c>
      <c r="L172" t="str">
        <f>IF(Table1[[#This Row],[Sales_Volume]]&gt;Table1[[#This Row],[Stock_Quantity]],"Pending","Fulfilled")</f>
        <v>Fulfilled</v>
      </c>
      <c r="M172">
        <v>7</v>
      </c>
      <c r="N172">
        <v>27</v>
      </c>
      <c r="O172" t="str">
        <f>IF(Table1[[#This Row],[Stock_Quantity]]&lt;=Table1[[#This Row],[Reorder_Level]],"Reoeder required","Sufficient")</f>
        <v>Sufficient</v>
      </c>
      <c r="P172" t="str">
        <f>IF(Table1[[#This Row],[Stock_Quantity]]=0,"Out of stock","Available")</f>
        <v>Available</v>
      </c>
    </row>
    <row r="173" spans="1:16" x14ac:dyDescent="0.3">
      <c r="A173" t="s">
        <v>587</v>
      </c>
      <c r="B173" t="s">
        <v>588</v>
      </c>
      <c r="C173" t="s">
        <v>13</v>
      </c>
      <c r="D173" t="s">
        <v>446</v>
      </c>
      <c r="E173">
        <v>67</v>
      </c>
      <c r="F173">
        <v>60</v>
      </c>
      <c r="G173">
        <v>21</v>
      </c>
      <c r="H173" s="1">
        <v>2.75</v>
      </c>
      <c r="I173" s="2">
        <v>45432</v>
      </c>
      <c r="J173" t="s">
        <v>589</v>
      </c>
      <c r="K173">
        <v>30</v>
      </c>
      <c r="L173" t="str">
        <f>IF(Table1[[#This Row],[Sales_Volume]]&gt;Table1[[#This Row],[Stock_Quantity]],"Pending","Fulfilled")</f>
        <v>Fulfilled</v>
      </c>
      <c r="M173">
        <v>1</v>
      </c>
      <c r="N173">
        <v>6</v>
      </c>
      <c r="O173" t="str">
        <f>IF(Table1[[#This Row],[Stock_Quantity]]&lt;=Table1[[#This Row],[Reorder_Level]],"Reoeder required","Sufficient")</f>
        <v>Sufficient</v>
      </c>
      <c r="P173" t="str">
        <f>IF(Table1[[#This Row],[Stock_Quantity]]=0,"Out of stock","Available")</f>
        <v>Available</v>
      </c>
    </row>
    <row r="174" spans="1:16" x14ac:dyDescent="0.3">
      <c r="A174" t="s">
        <v>590</v>
      </c>
      <c r="B174" t="s">
        <v>591</v>
      </c>
      <c r="C174" t="s">
        <v>18</v>
      </c>
      <c r="D174" t="s">
        <v>592</v>
      </c>
      <c r="E174">
        <v>62</v>
      </c>
      <c r="F174">
        <v>78</v>
      </c>
      <c r="G174">
        <v>97</v>
      </c>
      <c r="H174" s="1">
        <v>10</v>
      </c>
      <c r="I174" s="2">
        <v>45533</v>
      </c>
      <c r="J174" t="s">
        <v>593</v>
      </c>
      <c r="K174">
        <v>62</v>
      </c>
      <c r="L174" t="str">
        <f>IF(Table1[[#This Row],[Sales_Volume]]&gt;Table1[[#This Row],[Stock_Quantity]],"Pending","Fulfilled")</f>
        <v>Fulfilled</v>
      </c>
      <c r="M174">
        <v>5</v>
      </c>
      <c r="N174">
        <v>97</v>
      </c>
      <c r="O174" t="str">
        <f>IF(Table1[[#This Row],[Stock_Quantity]]&lt;=Table1[[#This Row],[Reorder_Level]],"Reoeder required","Sufficient")</f>
        <v>Reoeder required</v>
      </c>
      <c r="P174" t="str">
        <f>IF(Table1[[#This Row],[Stock_Quantity]]=0,"Out of stock","Available")</f>
        <v>Available</v>
      </c>
    </row>
    <row r="175" spans="1:16" x14ac:dyDescent="0.3">
      <c r="A175" t="s">
        <v>594</v>
      </c>
      <c r="B175" t="s">
        <v>595</v>
      </c>
      <c r="C175" t="s">
        <v>31</v>
      </c>
      <c r="D175" t="s">
        <v>596</v>
      </c>
      <c r="E175">
        <v>75</v>
      </c>
      <c r="F175">
        <v>10</v>
      </c>
      <c r="G175">
        <v>68</v>
      </c>
      <c r="H175" s="1">
        <v>3</v>
      </c>
      <c r="I175" s="2">
        <v>45667</v>
      </c>
      <c r="J175" t="s">
        <v>597</v>
      </c>
      <c r="K175">
        <v>90</v>
      </c>
      <c r="L175" t="str">
        <f>IF(Table1[[#This Row],[Sales_Volume]]&gt;Table1[[#This Row],[Stock_Quantity]],"Pending","Fulfilled")</f>
        <v>Pending</v>
      </c>
      <c r="M175">
        <v>4</v>
      </c>
      <c r="N175">
        <v>42</v>
      </c>
      <c r="O175" t="str">
        <f>IF(Table1[[#This Row],[Stock_Quantity]]&lt;=Table1[[#This Row],[Reorder_Level]],"Reoeder required","Sufficient")</f>
        <v>Sufficient</v>
      </c>
      <c r="P175" t="str">
        <f>IF(Table1[[#This Row],[Stock_Quantity]]=0,"Out of stock","Available")</f>
        <v>Available</v>
      </c>
    </row>
    <row r="176" spans="1:16" x14ac:dyDescent="0.3">
      <c r="A176" t="s">
        <v>598</v>
      </c>
      <c r="B176" t="s">
        <v>220</v>
      </c>
      <c r="C176" t="s">
        <v>18</v>
      </c>
      <c r="D176" t="s">
        <v>599</v>
      </c>
      <c r="E176">
        <v>75</v>
      </c>
      <c r="F176">
        <v>47</v>
      </c>
      <c r="G176">
        <v>33</v>
      </c>
      <c r="H176" s="1">
        <v>12.5</v>
      </c>
      <c r="I176" s="2">
        <v>45635</v>
      </c>
      <c r="J176" t="s">
        <v>600</v>
      </c>
      <c r="K176">
        <v>33</v>
      </c>
      <c r="L176" t="str">
        <f>IF(Table1[[#This Row],[Sales_Volume]]&gt;Table1[[#This Row],[Stock_Quantity]],"Pending","Fulfilled")</f>
        <v>Fulfilled</v>
      </c>
      <c r="M176">
        <v>1</v>
      </c>
      <c r="N176">
        <v>12</v>
      </c>
      <c r="O176" t="str">
        <f>IF(Table1[[#This Row],[Stock_Quantity]]&lt;=Table1[[#This Row],[Reorder_Level]],"Reoeder required","Sufficient")</f>
        <v>Sufficient</v>
      </c>
      <c r="P176" t="str">
        <f>IF(Table1[[#This Row],[Stock_Quantity]]=0,"Out of stock","Available")</f>
        <v>Available</v>
      </c>
    </row>
    <row r="177" spans="1:16" x14ac:dyDescent="0.3">
      <c r="A177" t="s">
        <v>601</v>
      </c>
      <c r="B177" t="s">
        <v>313</v>
      </c>
      <c r="C177" t="s">
        <v>45</v>
      </c>
      <c r="D177" t="s">
        <v>583</v>
      </c>
      <c r="E177">
        <v>29</v>
      </c>
      <c r="F177">
        <v>32</v>
      </c>
      <c r="G177">
        <v>26</v>
      </c>
      <c r="H177" s="1">
        <v>2.5</v>
      </c>
      <c r="I177" s="2">
        <v>45458</v>
      </c>
      <c r="J177" t="s">
        <v>602</v>
      </c>
      <c r="K177">
        <v>64</v>
      </c>
      <c r="L177" t="str">
        <f>IF(Table1[[#This Row],[Sales_Volume]]&gt;Table1[[#This Row],[Stock_Quantity]],"Pending","Fulfilled")</f>
        <v>Pending</v>
      </c>
      <c r="M177">
        <v>8</v>
      </c>
      <c r="N177">
        <v>85</v>
      </c>
      <c r="O177" t="str">
        <f>IF(Table1[[#This Row],[Stock_Quantity]]&lt;=Table1[[#This Row],[Reorder_Level]],"Reoeder required","Sufficient")</f>
        <v>Reoeder required</v>
      </c>
      <c r="P177" t="str">
        <f>IF(Table1[[#This Row],[Stock_Quantity]]=0,"Out of stock","Available")</f>
        <v>Available</v>
      </c>
    </row>
    <row r="178" spans="1:16" x14ac:dyDescent="0.3">
      <c r="A178" t="s">
        <v>603</v>
      </c>
      <c r="B178" t="s">
        <v>127</v>
      </c>
      <c r="C178" t="s">
        <v>65</v>
      </c>
      <c r="D178" t="s">
        <v>604</v>
      </c>
      <c r="E178">
        <v>34</v>
      </c>
      <c r="F178">
        <v>55</v>
      </c>
      <c r="G178">
        <v>22</v>
      </c>
      <c r="H178" s="1">
        <v>5</v>
      </c>
      <c r="I178" s="2">
        <v>45472</v>
      </c>
      <c r="J178" t="s">
        <v>605</v>
      </c>
      <c r="K178">
        <v>77</v>
      </c>
      <c r="L178" t="str">
        <f>IF(Table1[[#This Row],[Sales_Volume]]&gt;Table1[[#This Row],[Stock_Quantity]],"Pending","Fulfilled")</f>
        <v>Pending</v>
      </c>
      <c r="M178">
        <v>8</v>
      </c>
      <c r="N178">
        <v>85</v>
      </c>
      <c r="O178" t="str">
        <f>IF(Table1[[#This Row],[Stock_Quantity]]&lt;=Table1[[#This Row],[Reorder_Level]],"Reoeder required","Sufficient")</f>
        <v>Reoeder required</v>
      </c>
      <c r="P178" t="str">
        <f>IF(Table1[[#This Row],[Stock_Quantity]]=0,"Out of stock","Available")</f>
        <v>Available</v>
      </c>
    </row>
    <row r="179" spans="1:16" x14ac:dyDescent="0.3">
      <c r="A179" t="s">
        <v>606</v>
      </c>
      <c r="B179" t="s">
        <v>514</v>
      </c>
      <c r="C179" t="s">
        <v>18</v>
      </c>
      <c r="D179" t="s">
        <v>607</v>
      </c>
      <c r="E179">
        <v>15</v>
      </c>
      <c r="F179">
        <v>66</v>
      </c>
      <c r="G179">
        <v>85</v>
      </c>
      <c r="H179" s="1">
        <v>8</v>
      </c>
      <c r="I179" s="2">
        <v>45476</v>
      </c>
      <c r="J179" t="s">
        <v>608</v>
      </c>
      <c r="K179">
        <v>60</v>
      </c>
      <c r="L179" t="str">
        <f>IF(Table1[[#This Row],[Sales_Volume]]&gt;Table1[[#This Row],[Stock_Quantity]],"Pending","Fulfilled")</f>
        <v>Pending</v>
      </c>
      <c r="M179">
        <v>2</v>
      </c>
      <c r="N179">
        <v>40</v>
      </c>
      <c r="O179" t="str">
        <f>IF(Table1[[#This Row],[Stock_Quantity]]&lt;=Table1[[#This Row],[Reorder_Level]],"Reoeder required","Sufficient")</f>
        <v>Reoeder required</v>
      </c>
      <c r="P179" t="str">
        <f>IF(Table1[[#This Row],[Stock_Quantity]]=0,"Out of stock","Available")</f>
        <v>Available</v>
      </c>
    </row>
    <row r="180" spans="1:16" x14ac:dyDescent="0.3">
      <c r="A180" t="s">
        <v>609</v>
      </c>
      <c r="B180" t="s">
        <v>610</v>
      </c>
      <c r="C180" t="s">
        <v>99</v>
      </c>
      <c r="D180" t="s">
        <v>611</v>
      </c>
      <c r="E180">
        <v>88</v>
      </c>
      <c r="F180">
        <v>56</v>
      </c>
      <c r="G180">
        <v>81</v>
      </c>
      <c r="H180" s="1">
        <v>10</v>
      </c>
      <c r="I180" s="2">
        <v>45361</v>
      </c>
      <c r="J180" t="s">
        <v>612</v>
      </c>
      <c r="K180">
        <v>98</v>
      </c>
      <c r="L180" t="str">
        <f>IF(Table1[[#This Row],[Sales_Volume]]&gt;Table1[[#This Row],[Stock_Quantity]],"Pending","Fulfilled")</f>
        <v>Pending</v>
      </c>
      <c r="M180">
        <v>4</v>
      </c>
      <c r="N180">
        <v>86</v>
      </c>
      <c r="O180" t="str">
        <f>IF(Table1[[#This Row],[Stock_Quantity]]&lt;=Table1[[#This Row],[Reorder_Level]],"Reoeder required","Sufficient")</f>
        <v>Sufficient</v>
      </c>
      <c r="P180" t="str">
        <f>IF(Table1[[#This Row],[Stock_Quantity]]=0,"Out of stock","Available")</f>
        <v>Available</v>
      </c>
    </row>
    <row r="181" spans="1:16" x14ac:dyDescent="0.3">
      <c r="A181" t="s">
        <v>613</v>
      </c>
      <c r="B181" t="s">
        <v>549</v>
      </c>
      <c r="C181" t="s">
        <v>45</v>
      </c>
      <c r="D181" t="s">
        <v>614</v>
      </c>
      <c r="E181">
        <v>40</v>
      </c>
      <c r="F181">
        <v>81</v>
      </c>
      <c r="G181">
        <v>40</v>
      </c>
      <c r="H181" s="1">
        <v>9</v>
      </c>
      <c r="I181" s="2">
        <v>45410</v>
      </c>
      <c r="J181" t="s">
        <v>615</v>
      </c>
      <c r="K181">
        <v>40</v>
      </c>
      <c r="L181" t="str">
        <f>IF(Table1[[#This Row],[Sales_Volume]]&gt;Table1[[#This Row],[Stock_Quantity]],"Pending","Fulfilled")</f>
        <v>Fulfilled</v>
      </c>
      <c r="M181">
        <v>4</v>
      </c>
      <c r="N181">
        <v>48</v>
      </c>
      <c r="O181" t="str">
        <f>IF(Table1[[#This Row],[Stock_Quantity]]&lt;=Table1[[#This Row],[Reorder_Level]],"Reoeder required","Sufficient")</f>
        <v>Reoeder required</v>
      </c>
      <c r="P181" t="str">
        <f>IF(Table1[[#This Row],[Stock_Quantity]]=0,"Out of stock","Available")</f>
        <v>Available</v>
      </c>
    </row>
    <row r="182" spans="1:16" x14ac:dyDescent="0.3">
      <c r="A182" t="s">
        <v>616</v>
      </c>
      <c r="B182" t="s">
        <v>462</v>
      </c>
      <c r="C182" t="s">
        <v>40</v>
      </c>
      <c r="D182" t="s">
        <v>617</v>
      </c>
      <c r="E182">
        <v>10</v>
      </c>
      <c r="F182">
        <v>86</v>
      </c>
      <c r="G182">
        <v>23</v>
      </c>
      <c r="H182" s="1">
        <v>10</v>
      </c>
      <c r="I182" s="2">
        <v>45622</v>
      </c>
      <c r="J182" t="s">
        <v>618</v>
      </c>
      <c r="K182">
        <v>24</v>
      </c>
      <c r="L182" t="str">
        <f>IF(Table1[[#This Row],[Sales_Volume]]&gt;Table1[[#This Row],[Stock_Quantity]],"Pending","Fulfilled")</f>
        <v>Pending</v>
      </c>
      <c r="M182">
        <v>3</v>
      </c>
      <c r="N182">
        <v>52</v>
      </c>
      <c r="O182" t="str">
        <f>IF(Table1[[#This Row],[Stock_Quantity]]&lt;=Table1[[#This Row],[Reorder_Level]],"Reoeder required","Sufficient")</f>
        <v>Reoeder required</v>
      </c>
      <c r="P182" t="str">
        <f>IF(Table1[[#This Row],[Stock_Quantity]]=0,"Out of stock","Available")</f>
        <v>Available</v>
      </c>
    </row>
    <row r="183" spans="1:16" x14ac:dyDescent="0.3">
      <c r="A183" t="s">
        <v>619</v>
      </c>
      <c r="B183" t="s">
        <v>17</v>
      </c>
      <c r="C183" t="s">
        <v>18</v>
      </c>
      <c r="D183" t="s">
        <v>19</v>
      </c>
      <c r="E183">
        <v>21</v>
      </c>
      <c r="F183">
        <v>87</v>
      </c>
      <c r="G183">
        <v>12</v>
      </c>
      <c r="H183" s="1">
        <v>21</v>
      </c>
      <c r="I183" s="2">
        <v>45537</v>
      </c>
      <c r="J183" t="s">
        <v>620</v>
      </c>
      <c r="K183">
        <v>20</v>
      </c>
      <c r="L183" t="str">
        <f>IF(Table1[[#This Row],[Sales_Volume]]&gt;Table1[[#This Row],[Stock_Quantity]],"Pending","Fulfilled")</f>
        <v>Fulfilled</v>
      </c>
      <c r="M183">
        <v>7</v>
      </c>
      <c r="N183">
        <v>38</v>
      </c>
      <c r="O183" t="str">
        <f>IF(Table1[[#This Row],[Stock_Quantity]]&lt;=Table1[[#This Row],[Reorder_Level]],"Reoeder required","Sufficient")</f>
        <v>Reoeder required</v>
      </c>
      <c r="P183" t="str">
        <f>IF(Table1[[#This Row],[Stock_Quantity]]=0,"Out of stock","Available")</f>
        <v>Available</v>
      </c>
    </row>
    <row r="184" spans="1:16" x14ac:dyDescent="0.3">
      <c r="A184" t="s">
        <v>621</v>
      </c>
      <c r="B184" t="s">
        <v>98</v>
      </c>
      <c r="C184" t="s">
        <v>99</v>
      </c>
      <c r="D184" t="s">
        <v>622</v>
      </c>
      <c r="E184">
        <v>75</v>
      </c>
      <c r="F184">
        <v>25</v>
      </c>
      <c r="G184">
        <v>99</v>
      </c>
      <c r="H184" s="1">
        <v>12</v>
      </c>
      <c r="I184" s="2">
        <v>45441</v>
      </c>
      <c r="J184" t="s">
        <v>623</v>
      </c>
      <c r="K184">
        <v>89</v>
      </c>
      <c r="L184" t="str">
        <f>IF(Table1[[#This Row],[Sales_Volume]]&gt;Table1[[#This Row],[Stock_Quantity]],"Pending","Fulfilled")</f>
        <v>Pending</v>
      </c>
      <c r="M184">
        <v>1</v>
      </c>
      <c r="N184">
        <v>42</v>
      </c>
      <c r="O184" t="str">
        <f>IF(Table1[[#This Row],[Stock_Quantity]]&lt;=Table1[[#This Row],[Reorder_Level]],"Reoeder required","Sufficient")</f>
        <v>Sufficient</v>
      </c>
      <c r="P184" t="str">
        <f>IF(Table1[[#This Row],[Stock_Quantity]]=0,"Out of stock","Available")</f>
        <v>Available</v>
      </c>
    </row>
    <row r="185" spans="1:16" x14ac:dyDescent="0.3">
      <c r="A185" t="s">
        <v>624</v>
      </c>
      <c r="B185" t="s">
        <v>408</v>
      </c>
      <c r="C185" t="s">
        <v>99</v>
      </c>
      <c r="D185" t="s">
        <v>625</v>
      </c>
      <c r="E185">
        <v>56</v>
      </c>
      <c r="F185">
        <v>50</v>
      </c>
      <c r="G185">
        <v>80</v>
      </c>
      <c r="H185" s="1">
        <v>8</v>
      </c>
      <c r="I185" s="2">
        <v>45363</v>
      </c>
      <c r="J185" t="s">
        <v>626</v>
      </c>
      <c r="K185">
        <v>99</v>
      </c>
      <c r="L185" t="str">
        <f>IF(Table1[[#This Row],[Sales_Volume]]&gt;Table1[[#This Row],[Stock_Quantity]],"Pending","Fulfilled")</f>
        <v>Pending</v>
      </c>
      <c r="M185">
        <v>4</v>
      </c>
      <c r="N185">
        <v>5</v>
      </c>
      <c r="O185" t="str">
        <f>IF(Table1[[#This Row],[Stock_Quantity]]&lt;=Table1[[#This Row],[Reorder_Level]],"Reoeder required","Sufficient")</f>
        <v>Sufficient</v>
      </c>
      <c r="P185" t="str">
        <f>IF(Table1[[#This Row],[Stock_Quantity]]=0,"Out of stock","Available")</f>
        <v>Available</v>
      </c>
    </row>
    <row r="186" spans="1:16" x14ac:dyDescent="0.3">
      <c r="A186" t="s">
        <v>627</v>
      </c>
      <c r="B186" t="s">
        <v>64</v>
      </c>
      <c r="C186" t="s">
        <v>65</v>
      </c>
      <c r="D186" t="s">
        <v>628</v>
      </c>
      <c r="E186">
        <v>69</v>
      </c>
      <c r="F186">
        <v>65</v>
      </c>
      <c r="G186">
        <v>91</v>
      </c>
      <c r="H186" s="1">
        <v>3</v>
      </c>
      <c r="I186" s="2">
        <v>45499</v>
      </c>
      <c r="J186" t="s">
        <v>629</v>
      </c>
      <c r="K186">
        <v>98</v>
      </c>
      <c r="L186" t="str">
        <f>IF(Table1[[#This Row],[Sales_Volume]]&gt;Table1[[#This Row],[Stock_Quantity]],"Pending","Fulfilled")</f>
        <v>Pending</v>
      </c>
      <c r="M186">
        <v>3</v>
      </c>
      <c r="N186">
        <v>50</v>
      </c>
      <c r="O186" t="str">
        <f>IF(Table1[[#This Row],[Stock_Quantity]]&lt;=Table1[[#This Row],[Reorder_Level]],"Reoeder required","Sufficient")</f>
        <v>Sufficient</v>
      </c>
      <c r="P186" t="str">
        <f>IF(Table1[[#This Row],[Stock_Quantity]]=0,"Out of stock","Available")</f>
        <v>Available</v>
      </c>
    </row>
    <row r="187" spans="1:16" x14ac:dyDescent="0.3">
      <c r="A187" t="s">
        <v>630</v>
      </c>
      <c r="B187" t="s">
        <v>631</v>
      </c>
      <c r="C187" t="s">
        <v>13</v>
      </c>
      <c r="D187" t="s">
        <v>632</v>
      </c>
      <c r="E187">
        <v>56</v>
      </c>
      <c r="F187">
        <v>53</v>
      </c>
      <c r="G187">
        <v>77</v>
      </c>
      <c r="H187" s="1">
        <v>4.5</v>
      </c>
      <c r="I187" s="2">
        <v>45497</v>
      </c>
      <c r="J187" t="s">
        <v>633</v>
      </c>
      <c r="K187">
        <v>69</v>
      </c>
      <c r="L187" t="str">
        <f>IF(Table1[[#This Row],[Sales_Volume]]&gt;Table1[[#This Row],[Stock_Quantity]],"Pending","Fulfilled")</f>
        <v>Pending</v>
      </c>
      <c r="M187">
        <v>4</v>
      </c>
      <c r="N187">
        <v>69</v>
      </c>
      <c r="O187" t="str">
        <f>IF(Table1[[#This Row],[Stock_Quantity]]&lt;=Table1[[#This Row],[Reorder_Level]],"Reoeder required","Sufficient")</f>
        <v>Sufficient</v>
      </c>
      <c r="P187" t="str">
        <f>IF(Table1[[#This Row],[Stock_Quantity]]=0,"Out of stock","Available")</f>
        <v>Available</v>
      </c>
    </row>
    <row r="188" spans="1:16" x14ac:dyDescent="0.3">
      <c r="A188" t="s">
        <v>634</v>
      </c>
      <c r="B188" t="s">
        <v>60</v>
      </c>
      <c r="C188" t="s">
        <v>13</v>
      </c>
      <c r="D188" t="s">
        <v>265</v>
      </c>
      <c r="E188">
        <v>24</v>
      </c>
      <c r="F188">
        <v>69</v>
      </c>
      <c r="G188">
        <v>2</v>
      </c>
      <c r="H188" s="1">
        <v>2</v>
      </c>
      <c r="I188" s="2">
        <v>45395</v>
      </c>
      <c r="J188" t="s">
        <v>635</v>
      </c>
      <c r="K188">
        <v>20</v>
      </c>
      <c r="L188" t="str">
        <f>IF(Table1[[#This Row],[Sales_Volume]]&gt;Table1[[#This Row],[Stock_Quantity]],"Pending","Fulfilled")</f>
        <v>Fulfilled</v>
      </c>
      <c r="M188">
        <v>1</v>
      </c>
      <c r="N188">
        <v>20</v>
      </c>
      <c r="O188" t="str">
        <f>IF(Table1[[#This Row],[Stock_Quantity]]&lt;=Table1[[#This Row],[Reorder_Level]],"Reoeder required","Sufficient")</f>
        <v>Reoeder required</v>
      </c>
      <c r="P188" t="str">
        <f>IF(Table1[[#This Row],[Stock_Quantity]]=0,"Out of stock","Available")</f>
        <v>Available</v>
      </c>
    </row>
    <row r="189" spans="1:16" x14ac:dyDescent="0.3">
      <c r="A189" t="s">
        <v>636</v>
      </c>
      <c r="B189" t="s">
        <v>204</v>
      </c>
      <c r="C189" t="s">
        <v>65</v>
      </c>
      <c r="D189" t="s">
        <v>50</v>
      </c>
      <c r="E189">
        <v>30</v>
      </c>
      <c r="F189">
        <v>85</v>
      </c>
      <c r="G189">
        <v>21</v>
      </c>
      <c r="H189" s="1">
        <v>4.5</v>
      </c>
      <c r="I189" s="2">
        <v>45559</v>
      </c>
      <c r="J189" t="s">
        <v>637</v>
      </c>
      <c r="K189">
        <v>32</v>
      </c>
      <c r="L189" t="str">
        <f>IF(Table1[[#This Row],[Sales_Volume]]&gt;Table1[[#This Row],[Stock_Quantity]],"Pending","Fulfilled")</f>
        <v>Pending</v>
      </c>
      <c r="M189">
        <v>1</v>
      </c>
      <c r="N189">
        <v>83</v>
      </c>
      <c r="O189" t="str">
        <f>IF(Table1[[#This Row],[Stock_Quantity]]&lt;=Table1[[#This Row],[Reorder_Level]],"Reoeder required","Sufficient")</f>
        <v>Reoeder required</v>
      </c>
      <c r="P189" t="str">
        <f>IF(Table1[[#This Row],[Stock_Quantity]]=0,"Out of stock","Available")</f>
        <v>Available</v>
      </c>
    </row>
    <row r="190" spans="1:16" x14ac:dyDescent="0.3">
      <c r="A190" t="s">
        <v>638</v>
      </c>
      <c r="B190" t="s">
        <v>258</v>
      </c>
      <c r="C190" t="s">
        <v>18</v>
      </c>
      <c r="D190" t="s">
        <v>639</v>
      </c>
      <c r="E190">
        <v>36</v>
      </c>
      <c r="F190">
        <v>90</v>
      </c>
      <c r="G190">
        <v>57</v>
      </c>
      <c r="H190" s="1">
        <v>25</v>
      </c>
      <c r="I190" s="2">
        <v>45511</v>
      </c>
      <c r="J190" t="s">
        <v>640</v>
      </c>
      <c r="K190">
        <v>35</v>
      </c>
      <c r="L190" t="str">
        <f>IF(Table1[[#This Row],[Sales_Volume]]&gt;Table1[[#This Row],[Stock_Quantity]],"Pending","Fulfilled")</f>
        <v>Fulfilled</v>
      </c>
      <c r="M190">
        <v>8</v>
      </c>
      <c r="N190">
        <v>68</v>
      </c>
      <c r="O190" t="str">
        <f>IF(Table1[[#This Row],[Stock_Quantity]]&lt;=Table1[[#This Row],[Reorder_Level]],"Reoeder required","Sufficient")</f>
        <v>Reoeder required</v>
      </c>
      <c r="P190" t="str">
        <f>IF(Table1[[#This Row],[Stock_Quantity]]=0,"Out of stock","Available")</f>
        <v>Available</v>
      </c>
    </row>
    <row r="191" spans="1:16" x14ac:dyDescent="0.3">
      <c r="A191" t="s">
        <v>641</v>
      </c>
      <c r="B191" t="s">
        <v>217</v>
      </c>
      <c r="C191" t="s">
        <v>65</v>
      </c>
      <c r="D191" t="s">
        <v>642</v>
      </c>
      <c r="E191">
        <v>93</v>
      </c>
      <c r="F191">
        <v>76</v>
      </c>
      <c r="G191">
        <v>82</v>
      </c>
      <c r="H191" s="1">
        <v>2.5</v>
      </c>
      <c r="I191" s="2">
        <v>45501</v>
      </c>
      <c r="J191" t="s">
        <v>643</v>
      </c>
      <c r="K191">
        <v>76</v>
      </c>
      <c r="L191" t="str">
        <f>IF(Table1[[#This Row],[Sales_Volume]]&gt;Table1[[#This Row],[Stock_Quantity]],"Pending","Fulfilled")</f>
        <v>Fulfilled</v>
      </c>
      <c r="M191">
        <v>4</v>
      </c>
      <c r="N191">
        <v>51</v>
      </c>
      <c r="O191" t="str">
        <f>IF(Table1[[#This Row],[Stock_Quantity]]&lt;=Table1[[#This Row],[Reorder_Level]],"Reoeder required","Sufficient")</f>
        <v>Sufficient</v>
      </c>
      <c r="P191" t="str">
        <f>IF(Table1[[#This Row],[Stock_Quantity]]=0,"Out of stock","Available")</f>
        <v>Available</v>
      </c>
    </row>
    <row r="192" spans="1:16" x14ac:dyDescent="0.3">
      <c r="A192" t="s">
        <v>644</v>
      </c>
      <c r="B192" t="s">
        <v>264</v>
      </c>
      <c r="C192" t="s">
        <v>45</v>
      </c>
      <c r="D192" t="s">
        <v>645</v>
      </c>
      <c r="E192">
        <v>96</v>
      </c>
      <c r="F192">
        <v>38</v>
      </c>
      <c r="G192">
        <v>17</v>
      </c>
      <c r="H192" s="1">
        <v>7</v>
      </c>
      <c r="I192" s="2">
        <v>45566</v>
      </c>
      <c r="J192" t="s">
        <v>646</v>
      </c>
      <c r="K192">
        <v>72</v>
      </c>
      <c r="L192" t="str">
        <f>IF(Table1[[#This Row],[Sales_Volume]]&gt;Table1[[#This Row],[Stock_Quantity]],"Pending","Fulfilled")</f>
        <v>Fulfilled</v>
      </c>
      <c r="M192">
        <v>3</v>
      </c>
      <c r="N192">
        <v>84</v>
      </c>
      <c r="O192" t="str">
        <f>IF(Table1[[#This Row],[Stock_Quantity]]&lt;=Table1[[#This Row],[Reorder_Level]],"Reoeder required","Sufficient")</f>
        <v>Sufficient</v>
      </c>
      <c r="P192" t="str">
        <f>IF(Table1[[#This Row],[Stock_Quantity]]=0,"Out of stock","Available")</f>
        <v>Available</v>
      </c>
    </row>
    <row r="193" spans="1:16" x14ac:dyDescent="0.3">
      <c r="A193" t="s">
        <v>647</v>
      </c>
      <c r="B193" t="s">
        <v>334</v>
      </c>
      <c r="C193" t="s">
        <v>40</v>
      </c>
      <c r="D193" t="s">
        <v>466</v>
      </c>
      <c r="E193">
        <v>60</v>
      </c>
      <c r="F193">
        <v>88</v>
      </c>
      <c r="G193">
        <v>65</v>
      </c>
      <c r="H193" s="1">
        <v>4</v>
      </c>
      <c r="I193" s="2">
        <v>45673</v>
      </c>
      <c r="J193" t="s">
        <v>648</v>
      </c>
      <c r="K193">
        <v>94</v>
      </c>
      <c r="L193" t="str">
        <f>IF(Table1[[#This Row],[Sales_Volume]]&gt;Table1[[#This Row],[Stock_Quantity]],"Pending","Fulfilled")</f>
        <v>Pending</v>
      </c>
      <c r="M193">
        <v>7</v>
      </c>
      <c r="N193">
        <v>15</v>
      </c>
      <c r="O193" t="str">
        <f>IF(Table1[[#This Row],[Stock_Quantity]]&lt;=Table1[[#This Row],[Reorder_Level]],"Reoeder required","Sufficient")</f>
        <v>Reoeder required</v>
      </c>
      <c r="P193" t="str">
        <f>IF(Table1[[#This Row],[Stock_Quantity]]=0,"Out of stock","Available")</f>
        <v>Available</v>
      </c>
    </row>
    <row r="194" spans="1:16" x14ac:dyDescent="0.3">
      <c r="A194" t="s">
        <v>649</v>
      </c>
      <c r="B194" t="s">
        <v>469</v>
      </c>
      <c r="C194" t="s">
        <v>45</v>
      </c>
      <c r="D194" t="s">
        <v>506</v>
      </c>
      <c r="E194">
        <v>97</v>
      </c>
      <c r="F194">
        <v>77</v>
      </c>
      <c r="G194">
        <v>13</v>
      </c>
      <c r="H194" s="1">
        <v>7</v>
      </c>
      <c r="I194" s="2">
        <v>45550</v>
      </c>
      <c r="J194" t="s">
        <v>650</v>
      </c>
      <c r="K194">
        <v>43</v>
      </c>
      <c r="L194" t="str">
        <f>IF(Table1[[#This Row],[Sales_Volume]]&gt;Table1[[#This Row],[Stock_Quantity]],"Pending","Fulfilled")</f>
        <v>Fulfilled</v>
      </c>
      <c r="M194">
        <v>8</v>
      </c>
      <c r="N194">
        <v>40</v>
      </c>
      <c r="O194" t="str">
        <f>IF(Table1[[#This Row],[Stock_Quantity]]&lt;=Table1[[#This Row],[Reorder_Level]],"Reoeder required","Sufficient")</f>
        <v>Sufficient</v>
      </c>
      <c r="P194" t="str">
        <f>IF(Table1[[#This Row],[Stock_Quantity]]=0,"Out of stock","Available")</f>
        <v>Available</v>
      </c>
    </row>
    <row r="195" spans="1:16" x14ac:dyDescent="0.3">
      <c r="A195" t="s">
        <v>651</v>
      </c>
      <c r="B195" t="s">
        <v>342</v>
      </c>
      <c r="C195" t="s">
        <v>65</v>
      </c>
      <c r="D195" t="s">
        <v>652</v>
      </c>
      <c r="E195">
        <v>11</v>
      </c>
      <c r="F195">
        <v>6</v>
      </c>
      <c r="G195">
        <v>100</v>
      </c>
      <c r="H195" s="1">
        <v>5</v>
      </c>
      <c r="I195" s="2">
        <v>45551</v>
      </c>
      <c r="J195" t="s">
        <v>653</v>
      </c>
      <c r="K195">
        <v>88</v>
      </c>
      <c r="L195" t="str">
        <f>IF(Table1[[#This Row],[Sales_Volume]]&gt;Table1[[#This Row],[Stock_Quantity]],"Pending","Fulfilled")</f>
        <v>Pending</v>
      </c>
      <c r="M195">
        <v>5</v>
      </c>
      <c r="N195">
        <v>24</v>
      </c>
      <c r="O195" t="str">
        <f>IF(Table1[[#This Row],[Stock_Quantity]]&lt;=Table1[[#This Row],[Reorder_Level]],"Reoeder required","Sufficient")</f>
        <v>Sufficient</v>
      </c>
      <c r="P195" t="str">
        <f>IF(Table1[[#This Row],[Stock_Quantity]]=0,"Out of stock","Available")</f>
        <v>Available</v>
      </c>
    </row>
    <row r="196" spans="1:16" x14ac:dyDescent="0.3">
      <c r="A196" t="s">
        <v>654</v>
      </c>
      <c r="B196" t="s">
        <v>418</v>
      </c>
      <c r="C196" t="s">
        <v>31</v>
      </c>
      <c r="D196" t="s">
        <v>143</v>
      </c>
      <c r="E196">
        <v>14</v>
      </c>
      <c r="F196">
        <v>66</v>
      </c>
      <c r="G196">
        <v>1</v>
      </c>
      <c r="H196" s="1">
        <v>6</v>
      </c>
      <c r="I196" s="2">
        <v>45639</v>
      </c>
      <c r="J196" t="s">
        <v>655</v>
      </c>
      <c r="K196">
        <v>86</v>
      </c>
      <c r="L196" t="str">
        <f>IF(Table1[[#This Row],[Sales_Volume]]&gt;Table1[[#This Row],[Stock_Quantity]],"Pending","Fulfilled")</f>
        <v>Pending</v>
      </c>
      <c r="M196">
        <v>8</v>
      </c>
      <c r="N196">
        <v>15</v>
      </c>
      <c r="O196" t="str">
        <f>IF(Table1[[#This Row],[Stock_Quantity]]&lt;=Table1[[#This Row],[Reorder_Level]],"Reoeder required","Sufficient")</f>
        <v>Reoeder required</v>
      </c>
      <c r="P196" t="str">
        <f>IF(Table1[[#This Row],[Stock_Quantity]]=0,"Out of stock","Available")</f>
        <v>Available</v>
      </c>
    </row>
    <row r="197" spans="1:16" x14ac:dyDescent="0.3">
      <c r="A197" t="s">
        <v>656</v>
      </c>
      <c r="B197" t="s">
        <v>657</v>
      </c>
      <c r="C197" t="s">
        <v>40</v>
      </c>
      <c r="D197" t="s">
        <v>529</v>
      </c>
      <c r="E197">
        <v>88</v>
      </c>
      <c r="F197">
        <v>100</v>
      </c>
      <c r="G197">
        <v>17</v>
      </c>
      <c r="H197" s="1">
        <v>2.5</v>
      </c>
      <c r="I197" s="2">
        <v>45593</v>
      </c>
      <c r="J197" t="s">
        <v>658</v>
      </c>
      <c r="K197">
        <v>25</v>
      </c>
      <c r="L197" t="str">
        <f>IF(Table1[[#This Row],[Sales_Volume]]&gt;Table1[[#This Row],[Stock_Quantity]],"Pending","Fulfilled")</f>
        <v>Fulfilled</v>
      </c>
      <c r="M197">
        <v>2</v>
      </c>
      <c r="N197">
        <v>28</v>
      </c>
      <c r="O197" t="str">
        <f>IF(Table1[[#This Row],[Stock_Quantity]]&lt;=Table1[[#This Row],[Reorder_Level]],"Reoeder required","Sufficient")</f>
        <v>Reoeder required</v>
      </c>
      <c r="P197" t="str">
        <f>IF(Table1[[#This Row],[Stock_Quantity]]=0,"Out of stock","Available")</f>
        <v>Available</v>
      </c>
    </row>
    <row r="198" spans="1:16" x14ac:dyDescent="0.3">
      <c r="A198" t="s">
        <v>659</v>
      </c>
      <c r="B198" t="s">
        <v>359</v>
      </c>
      <c r="C198" t="s">
        <v>13</v>
      </c>
      <c r="D198" t="s">
        <v>100</v>
      </c>
      <c r="E198">
        <v>24</v>
      </c>
      <c r="F198">
        <v>15</v>
      </c>
      <c r="G198">
        <v>6</v>
      </c>
      <c r="H198" s="1">
        <v>4.75</v>
      </c>
      <c r="I198" s="2">
        <v>45459</v>
      </c>
      <c r="J198" t="s">
        <v>660</v>
      </c>
      <c r="K198">
        <v>35</v>
      </c>
      <c r="L198" t="str">
        <f>IF(Table1[[#This Row],[Sales_Volume]]&gt;Table1[[#This Row],[Stock_Quantity]],"Pending","Fulfilled")</f>
        <v>Pending</v>
      </c>
      <c r="M198">
        <v>5</v>
      </c>
      <c r="N198">
        <v>4</v>
      </c>
      <c r="O198" t="str">
        <f>IF(Table1[[#This Row],[Stock_Quantity]]&lt;=Table1[[#This Row],[Reorder_Level]],"Reoeder required","Sufficient")</f>
        <v>Sufficient</v>
      </c>
      <c r="P198" t="str">
        <f>IF(Table1[[#This Row],[Stock_Quantity]]=0,"Out of stock","Available")</f>
        <v>Available</v>
      </c>
    </row>
    <row r="199" spans="1:16" x14ac:dyDescent="0.3">
      <c r="A199" t="s">
        <v>661</v>
      </c>
      <c r="B199" t="s">
        <v>150</v>
      </c>
      <c r="C199" t="s">
        <v>99</v>
      </c>
      <c r="D199" t="s">
        <v>662</v>
      </c>
      <c r="E199">
        <v>93</v>
      </c>
      <c r="F199">
        <v>62</v>
      </c>
      <c r="G199">
        <v>65</v>
      </c>
      <c r="H199" s="1">
        <v>9</v>
      </c>
      <c r="I199" s="2">
        <v>45465</v>
      </c>
      <c r="J199" t="s">
        <v>663</v>
      </c>
      <c r="K199">
        <v>78</v>
      </c>
      <c r="L199" t="str">
        <f>IF(Table1[[#This Row],[Sales_Volume]]&gt;Table1[[#This Row],[Stock_Quantity]],"Pending","Fulfilled")</f>
        <v>Fulfilled</v>
      </c>
      <c r="M199">
        <v>6</v>
      </c>
      <c r="N199">
        <v>87</v>
      </c>
      <c r="O199" t="str">
        <f>IF(Table1[[#This Row],[Stock_Quantity]]&lt;=Table1[[#This Row],[Reorder_Level]],"Reoeder required","Sufficient")</f>
        <v>Sufficient</v>
      </c>
      <c r="P199" t="str">
        <f>IF(Table1[[#This Row],[Stock_Quantity]]=0,"Out of stock","Available")</f>
        <v>Available</v>
      </c>
    </row>
    <row r="200" spans="1:16" x14ac:dyDescent="0.3">
      <c r="A200" t="s">
        <v>664</v>
      </c>
      <c r="B200" t="s">
        <v>22</v>
      </c>
      <c r="C200" t="s">
        <v>13</v>
      </c>
      <c r="D200" t="s">
        <v>85</v>
      </c>
      <c r="E200">
        <v>68</v>
      </c>
      <c r="F200">
        <v>68</v>
      </c>
      <c r="G200">
        <v>97</v>
      </c>
      <c r="H200" s="1">
        <v>6</v>
      </c>
      <c r="I200" s="2">
        <v>45488</v>
      </c>
      <c r="J200" t="s">
        <v>665</v>
      </c>
      <c r="K200">
        <v>37</v>
      </c>
      <c r="L200" t="str">
        <f>IF(Table1[[#This Row],[Sales_Volume]]&gt;Table1[[#This Row],[Stock_Quantity]],"Pending","Fulfilled")</f>
        <v>Fulfilled</v>
      </c>
      <c r="M200">
        <v>4</v>
      </c>
      <c r="N200">
        <v>31</v>
      </c>
      <c r="O200" t="str">
        <f>IF(Table1[[#This Row],[Stock_Quantity]]&lt;=Table1[[#This Row],[Reorder_Level]],"Reoeder required","Sufficient")</f>
        <v>Reoeder required</v>
      </c>
      <c r="P200" t="str">
        <f>IF(Table1[[#This Row],[Stock_Quantity]]=0,"Out of stock","Available")</f>
        <v>Available</v>
      </c>
    </row>
    <row r="201" spans="1:16" x14ac:dyDescent="0.3">
      <c r="A201" t="s">
        <v>666</v>
      </c>
      <c r="B201" t="s">
        <v>64</v>
      </c>
      <c r="C201" t="s">
        <v>65</v>
      </c>
      <c r="D201" t="s">
        <v>607</v>
      </c>
      <c r="E201">
        <v>28</v>
      </c>
      <c r="F201">
        <v>94</v>
      </c>
      <c r="G201">
        <v>80</v>
      </c>
      <c r="H201" s="1">
        <v>2.8</v>
      </c>
      <c r="I201" s="2">
        <v>45680</v>
      </c>
      <c r="J201" t="s">
        <v>667</v>
      </c>
      <c r="K201">
        <v>31</v>
      </c>
      <c r="L201" t="str">
        <f>IF(Table1[[#This Row],[Sales_Volume]]&gt;Table1[[#This Row],[Stock_Quantity]],"Pending","Fulfilled")</f>
        <v>Pending</v>
      </c>
      <c r="M201">
        <v>4</v>
      </c>
      <c r="N201">
        <v>1</v>
      </c>
      <c r="O201" t="str">
        <f>IF(Table1[[#This Row],[Stock_Quantity]]&lt;=Table1[[#This Row],[Reorder_Level]],"Reoeder required","Sufficient")</f>
        <v>Reoeder required</v>
      </c>
      <c r="P201" t="str">
        <f>IF(Table1[[#This Row],[Stock_Quantity]]=0,"Out of stock","Available")</f>
        <v>Available</v>
      </c>
    </row>
    <row r="202" spans="1:16" x14ac:dyDescent="0.3">
      <c r="A202" t="s">
        <v>668</v>
      </c>
      <c r="B202" t="s">
        <v>669</v>
      </c>
      <c r="C202" t="s">
        <v>31</v>
      </c>
      <c r="D202" t="s">
        <v>23</v>
      </c>
      <c r="E202">
        <v>21</v>
      </c>
      <c r="F202">
        <v>30</v>
      </c>
      <c r="G202">
        <v>32</v>
      </c>
      <c r="H202" s="1">
        <v>2</v>
      </c>
      <c r="I202" s="2">
        <v>45695</v>
      </c>
      <c r="J202" t="s">
        <v>670</v>
      </c>
      <c r="K202">
        <v>43</v>
      </c>
      <c r="L202" t="str">
        <f>IF(Table1[[#This Row],[Sales_Volume]]&gt;Table1[[#This Row],[Stock_Quantity]],"Pending","Fulfilled")</f>
        <v>Pending</v>
      </c>
      <c r="M202">
        <v>4</v>
      </c>
      <c r="N202">
        <v>54</v>
      </c>
      <c r="O202" t="str">
        <f>IF(Table1[[#This Row],[Stock_Quantity]]&lt;=Table1[[#This Row],[Reorder_Level]],"Reoeder required","Sufficient")</f>
        <v>Reoeder required</v>
      </c>
      <c r="P202" t="str">
        <f>IF(Table1[[#This Row],[Stock_Quantity]]=0,"Out of stock","Available")</f>
        <v>Available</v>
      </c>
    </row>
    <row r="203" spans="1:16" x14ac:dyDescent="0.3">
      <c r="A203" t="s">
        <v>671</v>
      </c>
      <c r="B203" t="s">
        <v>418</v>
      </c>
      <c r="C203" t="s">
        <v>31</v>
      </c>
      <c r="D203" t="s">
        <v>347</v>
      </c>
      <c r="E203">
        <v>92</v>
      </c>
      <c r="F203">
        <v>96</v>
      </c>
      <c r="G203">
        <v>56</v>
      </c>
      <c r="H203" s="1">
        <v>6</v>
      </c>
      <c r="I203" s="2">
        <v>45468</v>
      </c>
      <c r="J203" t="s">
        <v>672</v>
      </c>
      <c r="K203">
        <v>32</v>
      </c>
      <c r="L203" t="str">
        <f>IF(Table1[[#This Row],[Sales_Volume]]&gt;Table1[[#This Row],[Stock_Quantity]],"Pending","Fulfilled")</f>
        <v>Fulfilled</v>
      </c>
      <c r="M203">
        <v>4</v>
      </c>
      <c r="N203">
        <v>22</v>
      </c>
      <c r="O203" t="str">
        <f>IF(Table1[[#This Row],[Stock_Quantity]]&lt;=Table1[[#This Row],[Reorder_Level]],"Reoeder required","Sufficient")</f>
        <v>Reoeder required</v>
      </c>
      <c r="P203" t="str">
        <f>IF(Table1[[#This Row],[Stock_Quantity]]=0,"Out of stock","Available")</f>
        <v>Available</v>
      </c>
    </row>
    <row r="204" spans="1:16" x14ac:dyDescent="0.3">
      <c r="A204" t="s">
        <v>673</v>
      </c>
      <c r="B204" t="s">
        <v>591</v>
      </c>
      <c r="C204" t="s">
        <v>18</v>
      </c>
      <c r="D204" t="s">
        <v>674</v>
      </c>
      <c r="E204">
        <v>68</v>
      </c>
      <c r="F204">
        <v>12</v>
      </c>
      <c r="G204">
        <v>42</v>
      </c>
      <c r="H204" s="1">
        <v>10</v>
      </c>
      <c r="I204" s="2">
        <v>45709</v>
      </c>
      <c r="J204" t="s">
        <v>675</v>
      </c>
      <c r="K204">
        <v>39</v>
      </c>
      <c r="L204" t="str">
        <f>IF(Table1[[#This Row],[Sales_Volume]]&gt;Table1[[#This Row],[Stock_Quantity]],"Pending","Fulfilled")</f>
        <v>Fulfilled</v>
      </c>
      <c r="M204">
        <v>2</v>
      </c>
      <c r="N204">
        <v>6</v>
      </c>
      <c r="O204" t="str">
        <f>IF(Table1[[#This Row],[Stock_Quantity]]&lt;=Table1[[#This Row],[Reorder_Level]],"Reoeder required","Sufficient")</f>
        <v>Sufficient</v>
      </c>
      <c r="P204" t="str">
        <f>IF(Table1[[#This Row],[Stock_Quantity]]=0,"Out of stock","Available")</f>
        <v>Available</v>
      </c>
    </row>
    <row r="205" spans="1:16" x14ac:dyDescent="0.3">
      <c r="A205" t="s">
        <v>676</v>
      </c>
      <c r="B205" t="s">
        <v>187</v>
      </c>
      <c r="C205" t="s">
        <v>65</v>
      </c>
      <c r="D205" t="s">
        <v>677</v>
      </c>
      <c r="E205">
        <v>46</v>
      </c>
      <c r="F205">
        <v>43</v>
      </c>
      <c r="G205">
        <v>46</v>
      </c>
      <c r="H205" s="1">
        <v>3.5</v>
      </c>
      <c r="I205" s="2">
        <v>45570</v>
      </c>
      <c r="J205" t="s">
        <v>678</v>
      </c>
      <c r="K205">
        <v>68</v>
      </c>
      <c r="L205" t="str">
        <f>IF(Table1[[#This Row],[Sales_Volume]]&gt;Table1[[#This Row],[Stock_Quantity]],"Pending","Fulfilled")</f>
        <v>Pending</v>
      </c>
      <c r="M205">
        <v>4</v>
      </c>
      <c r="N205">
        <v>59</v>
      </c>
      <c r="O205" t="str">
        <f>IF(Table1[[#This Row],[Stock_Quantity]]&lt;=Table1[[#This Row],[Reorder_Level]],"Reoeder required","Sufficient")</f>
        <v>Sufficient</v>
      </c>
      <c r="P205" t="str">
        <f>IF(Table1[[#This Row],[Stock_Quantity]]=0,"Out of stock","Available")</f>
        <v>Available</v>
      </c>
    </row>
    <row r="206" spans="1:16" x14ac:dyDescent="0.3">
      <c r="A206" t="s">
        <v>679</v>
      </c>
      <c r="B206" t="s">
        <v>134</v>
      </c>
      <c r="C206" t="s">
        <v>31</v>
      </c>
      <c r="D206" t="s">
        <v>680</v>
      </c>
      <c r="E206">
        <v>47</v>
      </c>
      <c r="F206">
        <v>20</v>
      </c>
      <c r="G206">
        <v>65</v>
      </c>
      <c r="H206" s="1">
        <v>1.75</v>
      </c>
      <c r="I206" s="2">
        <v>45669</v>
      </c>
      <c r="J206" t="s">
        <v>681</v>
      </c>
      <c r="K206">
        <v>49</v>
      </c>
      <c r="L206" t="str">
        <f>IF(Table1[[#This Row],[Sales_Volume]]&gt;Table1[[#This Row],[Stock_Quantity]],"Pending","Fulfilled")</f>
        <v>Pending</v>
      </c>
      <c r="M206">
        <v>1</v>
      </c>
      <c r="N206">
        <v>19</v>
      </c>
      <c r="O206" t="str">
        <f>IF(Table1[[#This Row],[Stock_Quantity]]&lt;=Table1[[#This Row],[Reorder_Level]],"Reoeder required","Sufficient")</f>
        <v>Sufficient</v>
      </c>
      <c r="P206" t="str">
        <f>IF(Table1[[#This Row],[Stock_Quantity]]=0,"Out of stock","Available")</f>
        <v>Available</v>
      </c>
    </row>
    <row r="207" spans="1:16" x14ac:dyDescent="0.3">
      <c r="A207" t="s">
        <v>682</v>
      </c>
      <c r="B207" t="s">
        <v>142</v>
      </c>
      <c r="C207" t="s">
        <v>40</v>
      </c>
      <c r="D207" t="s">
        <v>177</v>
      </c>
      <c r="E207">
        <v>52</v>
      </c>
      <c r="F207">
        <v>88</v>
      </c>
      <c r="G207">
        <v>55</v>
      </c>
      <c r="H207" s="1">
        <v>6</v>
      </c>
      <c r="I207" s="2">
        <v>45417</v>
      </c>
      <c r="J207" t="s">
        <v>683</v>
      </c>
      <c r="K207">
        <v>100</v>
      </c>
      <c r="L207" t="str">
        <f>IF(Table1[[#This Row],[Sales_Volume]]&gt;Table1[[#This Row],[Stock_Quantity]],"Pending","Fulfilled")</f>
        <v>Pending</v>
      </c>
      <c r="M207">
        <v>8</v>
      </c>
      <c r="N207">
        <v>46</v>
      </c>
      <c r="O207" t="str">
        <f>IF(Table1[[#This Row],[Stock_Quantity]]&lt;=Table1[[#This Row],[Reorder_Level]],"Reoeder required","Sufficient")</f>
        <v>Reoeder required</v>
      </c>
      <c r="P207" t="str">
        <f>IF(Table1[[#This Row],[Stock_Quantity]]=0,"Out of stock","Available")</f>
        <v>Available</v>
      </c>
    </row>
    <row r="208" spans="1:16" x14ac:dyDescent="0.3">
      <c r="A208" t="s">
        <v>684</v>
      </c>
      <c r="B208" t="s">
        <v>123</v>
      </c>
      <c r="C208" t="s">
        <v>31</v>
      </c>
      <c r="D208" t="s">
        <v>77</v>
      </c>
      <c r="E208">
        <v>51</v>
      </c>
      <c r="F208">
        <v>62</v>
      </c>
      <c r="G208">
        <v>95</v>
      </c>
      <c r="H208" s="1">
        <v>6</v>
      </c>
      <c r="I208" s="2">
        <v>45379</v>
      </c>
      <c r="J208" t="s">
        <v>685</v>
      </c>
      <c r="K208">
        <v>52</v>
      </c>
      <c r="L208" t="str">
        <f>IF(Table1[[#This Row],[Sales_Volume]]&gt;Table1[[#This Row],[Stock_Quantity]],"Pending","Fulfilled")</f>
        <v>Pending</v>
      </c>
      <c r="M208">
        <v>7</v>
      </c>
      <c r="N208">
        <v>21</v>
      </c>
      <c r="O208" t="str">
        <f>IF(Table1[[#This Row],[Stock_Quantity]]&lt;=Table1[[#This Row],[Reorder_Level]],"Reoeder required","Sufficient")</f>
        <v>Reoeder required</v>
      </c>
      <c r="P208" t="str">
        <f>IF(Table1[[#This Row],[Stock_Quantity]]=0,"Out of stock","Available")</f>
        <v>Available</v>
      </c>
    </row>
    <row r="209" spans="1:16" x14ac:dyDescent="0.3">
      <c r="A209" t="s">
        <v>686</v>
      </c>
      <c r="B209" t="s">
        <v>44</v>
      </c>
      <c r="C209" t="s">
        <v>45</v>
      </c>
      <c r="D209" t="s">
        <v>687</v>
      </c>
      <c r="E209">
        <v>14</v>
      </c>
      <c r="F209">
        <v>63</v>
      </c>
      <c r="G209">
        <v>74</v>
      </c>
      <c r="H209" s="1">
        <v>2.5</v>
      </c>
      <c r="I209" s="2">
        <v>45707</v>
      </c>
      <c r="J209" t="s">
        <v>688</v>
      </c>
      <c r="K209">
        <v>59</v>
      </c>
      <c r="L209" t="str">
        <f>IF(Table1[[#This Row],[Sales_Volume]]&gt;Table1[[#This Row],[Stock_Quantity]],"Pending","Fulfilled")</f>
        <v>Pending</v>
      </c>
      <c r="M209">
        <v>3</v>
      </c>
      <c r="N209">
        <v>63</v>
      </c>
      <c r="O209" t="str">
        <f>IF(Table1[[#This Row],[Stock_Quantity]]&lt;=Table1[[#This Row],[Reorder_Level]],"Reoeder required","Sufficient")</f>
        <v>Reoeder required</v>
      </c>
      <c r="P209" t="str">
        <f>IF(Table1[[#This Row],[Stock_Quantity]]=0,"Out of stock","Available")</f>
        <v>Available</v>
      </c>
    </row>
    <row r="210" spans="1:16" x14ac:dyDescent="0.3">
      <c r="A210" t="s">
        <v>689</v>
      </c>
      <c r="B210" t="s">
        <v>49</v>
      </c>
      <c r="C210" t="s">
        <v>31</v>
      </c>
      <c r="D210" t="s">
        <v>526</v>
      </c>
      <c r="E210">
        <v>62</v>
      </c>
      <c r="F210">
        <v>44</v>
      </c>
      <c r="G210">
        <v>11</v>
      </c>
      <c r="H210" s="1">
        <v>51.17</v>
      </c>
      <c r="I210" s="2">
        <v>45398</v>
      </c>
      <c r="J210" t="s">
        <v>690</v>
      </c>
      <c r="K210">
        <v>92</v>
      </c>
      <c r="L210" t="str">
        <f>IF(Table1[[#This Row],[Sales_Volume]]&gt;Table1[[#This Row],[Stock_Quantity]],"Pending","Fulfilled")</f>
        <v>Pending</v>
      </c>
      <c r="M210">
        <v>4</v>
      </c>
      <c r="N210">
        <v>37</v>
      </c>
      <c r="O210" t="str">
        <f>IF(Table1[[#This Row],[Stock_Quantity]]&lt;=Table1[[#This Row],[Reorder_Level]],"Reoeder required","Sufficient")</f>
        <v>Sufficient</v>
      </c>
      <c r="P210" t="str">
        <f>IF(Table1[[#This Row],[Stock_Quantity]]=0,"Out of stock","Available")</f>
        <v>Available</v>
      </c>
    </row>
    <row r="211" spans="1:16" x14ac:dyDescent="0.3">
      <c r="A211" t="s">
        <v>691</v>
      </c>
      <c r="B211" t="s">
        <v>425</v>
      </c>
      <c r="C211" t="s">
        <v>31</v>
      </c>
      <c r="D211" t="s">
        <v>692</v>
      </c>
      <c r="E211">
        <v>40</v>
      </c>
      <c r="F211">
        <v>53</v>
      </c>
      <c r="G211">
        <v>7</v>
      </c>
      <c r="H211" s="1">
        <v>4</v>
      </c>
      <c r="I211" s="2">
        <v>45357</v>
      </c>
      <c r="J211" t="s">
        <v>693</v>
      </c>
      <c r="K211">
        <v>70</v>
      </c>
      <c r="L211" t="str">
        <f>IF(Table1[[#This Row],[Sales_Volume]]&gt;Table1[[#This Row],[Stock_Quantity]],"Pending","Fulfilled")</f>
        <v>Pending</v>
      </c>
      <c r="M211">
        <v>5</v>
      </c>
      <c r="N211">
        <v>20</v>
      </c>
      <c r="O211" t="str">
        <f>IF(Table1[[#This Row],[Stock_Quantity]]&lt;=Table1[[#This Row],[Reorder_Level]],"Reoeder required","Sufficient")</f>
        <v>Reoeder required</v>
      </c>
      <c r="P211" t="str">
        <f>IF(Table1[[#This Row],[Stock_Quantity]]=0,"Out of stock","Available")</f>
        <v>Available</v>
      </c>
    </row>
    <row r="212" spans="1:16" x14ac:dyDescent="0.3">
      <c r="A212" t="s">
        <v>694</v>
      </c>
      <c r="B212" t="s">
        <v>258</v>
      </c>
      <c r="C212" t="s">
        <v>18</v>
      </c>
      <c r="D212" t="s">
        <v>382</v>
      </c>
      <c r="E212">
        <v>50</v>
      </c>
      <c r="F212">
        <v>100</v>
      </c>
      <c r="G212">
        <v>91</v>
      </c>
      <c r="H212" s="1">
        <v>25.5</v>
      </c>
      <c r="I212" s="2">
        <v>45490</v>
      </c>
      <c r="J212" t="s">
        <v>695</v>
      </c>
      <c r="K212">
        <v>29</v>
      </c>
      <c r="L212" t="str">
        <f>IF(Table1[[#This Row],[Sales_Volume]]&gt;Table1[[#This Row],[Stock_Quantity]],"Pending","Fulfilled")</f>
        <v>Fulfilled</v>
      </c>
      <c r="M212">
        <v>2</v>
      </c>
      <c r="N212">
        <v>31</v>
      </c>
      <c r="O212" t="str">
        <f>IF(Table1[[#This Row],[Stock_Quantity]]&lt;=Table1[[#This Row],[Reorder_Level]],"Reoeder required","Sufficient")</f>
        <v>Reoeder required</v>
      </c>
      <c r="P212" t="str">
        <f>IF(Table1[[#This Row],[Stock_Quantity]]=0,"Out of stock","Available")</f>
        <v>Available</v>
      </c>
    </row>
    <row r="213" spans="1:16" x14ac:dyDescent="0.3">
      <c r="A213" t="s">
        <v>696</v>
      </c>
      <c r="B213" t="s">
        <v>12</v>
      </c>
      <c r="C213" t="s">
        <v>13</v>
      </c>
      <c r="D213" t="s">
        <v>208</v>
      </c>
      <c r="E213">
        <v>77</v>
      </c>
      <c r="F213">
        <v>20</v>
      </c>
      <c r="G213">
        <v>37</v>
      </c>
      <c r="H213" s="1">
        <v>4.25</v>
      </c>
      <c r="I213" s="2">
        <v>45357</v>
      </c>
      <c r="J213" t="s">
        <v>697</v>
      </c>
      <c r="K213">
        <v>42</v>
      </c>
      <c r="L213" t="str">
        <f>IF(Table1[[#This Row],[Sales_Volume]]&gt;Table1[[#This Row],[Stock_Quantity]],"Pending","Fulfilled")</f>
        <v>Fulfilled</v>
      </c>
      <c r="M213">
        <v>4</v>
      </c>
      <c r="N213">
        <v>19</v>
      </c>
      <c r="O213" t="str">
        <f>IF(Table1[[#This Row],[Stock_Quantity]]&lt;=Table1[[#This Row],[Reorder_Level]],"Reoeder required","Sufficient")</f>
        <v>Sufficient</v>
      </c>
      <c r="P213" t="str">
        <f>IF(Table1[[#This Row],[Stock_Quantity]]=0,"Out of stock","Available")</f>
        <v>Available</v>
      </c>
    </row>
    <row r="214" spans="1:16" x14ac:dyDescent="0.3">
      <c r="A214" t="s">
        <v>698</v>
      </c>
      <c r="B214" t="s">
        <v>72</v>
      </c>
      <c r="C214" t="s">
        <v>31</v>
      </c>
      <c r="D214" t="s">
        <v>699</v>
      </c>
      <c r="E214">
        <v>31</v>
      </c>
      <c r="F214">
        <v>89</v>
      </c>
      <c r="G214">
        <v>7</v>
      </c>
      <c r="H214" s="1">
        <v>5.9</v>
      </c>
      <c r="I214" s="2">
        <v>45633</v>
      </c>
      <c r="J214" t="s">
        <v>700</v>
      </c>
      <c r="K214">
        <v>46</v>
      </c>
      <c r="L214" t="str">
        <f>IF(Table1[[#This Row],[Sales_Volume]]&gt;Table1[[#This Row],[Stock_Quantity]],"Pending","Fulfilled")</f>
        <v>Pending</v>
      </c>
      <c r="M214">
        <v>6</v>
      </c>
      <c r="N214">
        <v>54</v>
      </c>
      <c r="O214" t="str">
        <f>IF(Table1[[#This Row],[Stock_Quantity]]&lt;=Table1[[#This Row],[Reorder_Level]],"Reoeder required","Sufficient")</f>
        <v>Reoeder required</v>
      </c>
      <c r="P214" t="str">
        <f>IF(Table1[[#This Row],[Stock_Quantity]]=0,"Out of stock","Available")</f>
        <v>Available</v>
      </c>
    </row>
    <row r="215" spans="1:16" x14ac:dyDescent="0.3">
      <c r="A215" t="s">
        <v>701</v>
      </c>
      <c r="B215" t="s">
        <v>123</v>
      </c>
      <c r="C215" t="s">
        <v>31</v>
      </c>
      <c r="D215" t="s">
        <v>702</v>
      </c>
      <c r="E215">
        <v>35</v>
      </c>
      <c r="F215">
        <v>19</v>
      </c>
      <c r="G215">
        <v>30</v>
      </c>
      <c r="H215" s="1">
        <v>6.5</v>
      </c>
      <c r="I215" s="2">
        <v>45626</v>
      </c>
      <c r="J215" t="s">
        <v>703</v>
      </c>
      <c r="K215">
        <v>88</v>
      </c>
      <c r="L215" t="str">
        <f>IF(Table1[[#This Row],[Sales_Volume]]&gt;Table1[[#This Row],[Stock_Quantity]],"Pending","Fulfilled")</f>
        <v>Pending</v>
      </c>
      <c r="M215">
        <v>1</v>
      </c>
      <c r="N215">
        <v>6</v>
      </c>
      <c r="O215" t="str">
        <f>IF(Table1[[#This Row],[Stock_Quantity]]&lt;=Table1[[#This Row],[Reorder_Level]],"Reoeder required","Sufficient")</f>
        <v>Sufficient</v>
      </c>
      <c r="P215" t="str">
        <f>IF(Table1[[#This Row],[Stock_Quantity]]=0,"Out of stock","Available")</f>
        <v>Available</v>
      </c>
    </row>
    <row r="216" spans="1:16" x14ac:dyDescent="0.3">
      <c r="A216" t="s">
        <v>704</v>
      </c>
      <c r="B216" t="s">
        <v>268</v>
      </c>
      <c r="C216" t="s">
        <v>31</v>
      </c>
      <c r="D216" t="s">
        <v>705</v>
      </c>
      <c r="E216">
        <v>31</v>
      </c>
      <c r="F216">
        <v>54</v>
      </c>
      <c r="G216">
        <v>52</v>
      </c>
      <c r="H216" s="1">
        <v>4</v>
      </c>
      <c r="I216" s="2">
        <v>45634</v>
      </c>
      <c r="J216" t="s">
        <v>706</v>
      </c>
      <c r="K216">
        <v>69</v>
      </c>
      <c r="L216" t="str">
        <f>IF(Table1[[#This Row],[Sales_Volume]]&gt;Table1[[#This Row],[Stock_Quantity]],"Pending","Fulfilled")</f>
        <v>Pending</v>
      </c>
      <c r="M216">
        <v>6</v>
      </c>
      <c r="N216">
        <v>77</v>
      </c>
      <c r="O216" t="str">
        <f>IF(Table1[[#This Row],[Stock_Quantity]]&lt;=Table1[[#This Row],[Reorder_Level]],"Reoeder required","Sufficient")</f>
        <v>Reoeder required</v>
      </c>
      <c r="P216" t="str">
        <f>IF(Table1[[#This Row],[Stock_Quantity]]=0,"Out of stock","Available")</f>
        <v>Available</v>
      </c>
    </row>
    <row r="217" spans="1:16" x14ac:dyDescent="0.3">
      <c r="A217" t="s">
        <v>707</v>
      </c>
      <c r="B217" t="s">
        <v>217</v>
      </c>
      <c r="C217" t="s">
        <v>65</v>
      </c>
      <c r="D217" t="s">
        <v>306</v>
      </c>
      <c r="E217">
        <v>56</v>
      </c>
      <c r="F217">
        <v>62</v>
      </c>
      <c r="G217">
        <v>64</v>
      </c>
      <c r="H217" s="1">
        <v>2.5</v>
      </c>
      <c r="I217" s="2">
        <v>45538</v>
      </c>
      <c r="J217" t="s">
        <v>708</v>
      </c>
      <c r="K217">
        <v>56</v>
      </c>
      <c r="L217" t="str">
        <f>IF(Table1[[#This Row],[Sales_Volume]]&gt;Table1[[#This Row],[Stock_Quantity]],"Pending","Fulfilled")</f>
        <v>Fulfilled</v>
      </c>
      <c r="M217">
        <v>6</v>
      </c>
      <c r="N217">
        <v>73</v>
      </c>
      <c r="O217" t="str">
        <f>IF(Table1[[#This Row],[Stock_Quantity]]&lt;=Table1[[#This Row],[Reorder_Level]],"Reoeder required","Sufficient")</f>
        <v>Reoeder required</v>
      </c>
      <c r="P217" t="str">
        <f>IF(Table1[[#This Row],[Stock_Quantity]]=0,"Out of stock","Available")</f>
        <v>Available</v>
      </c>
    </row>
    <row r="218" spans="1:16" x14ac:dyDescent="0.3">
      <c r="A218" t="s">
        <v>709</v>
      </c>
      <c r="B218" t="s">
        <v>49</v>
      </c>
      <c r="C218" t="s">
        <v>45</v>
      </c>
      <c r="D218" t="s">
        <v>710</v>
      </c>
      <c r="E218">
        <v>90</v>
      </c>
      <c r="F218">
        <v>62</v>
      </c>
      <c r="G218">
        <v>54</v>
      </c>
      <c r="H218" s="1">
        <v>3</v>
      </c>
      <c r="I218" s="2">
        <v>45542</v>
      </c>
      <c r="J218" t="s">
        <v>711</v>
      </c>
      <c r="K218">
        <v>70</v>
      </c>
      <c r="L218" t="str">
        <f>IF(Table1[[#This Row],[Sales_Volume]]&gt;Table1[[#This Row],[Stock_Quantity]],"Pending","Fulfilled")</f>
        <v>Fulfilled</v>
      </c>
      <c r="M218">
        <v>7</v>
      </c>
      <c r="N218">
        <v>83</v>
      </c>
      <c r="O218" t="str">
        <f>IF(Table1[[#This Row],[Stock_Quantity]]&lt;=Table1[[#This Row],[Reorder_Level]],"Reoeder required","Sufficient")</f>
        <v>Sufficient</v>
      </c>
      <c r="P218" t="str">
        <f>IF(Table1[[#This Row],[Stock_Quantity]]=0,"Out of stock","Available")</f>
        <v>Available</v>
      </c>
    </row>
    <row r="219" spans="1:16" x14ac:dyDescent="0.3">
      <c r="A219" t="s">
        <v>712</v>
      </c>
      <c r="B219" t="s">
        <v>459</v>
      </c>
      <c r="C219" t="s">
        <v>40</v>
      </c>
      <c r="D219" t="s">
        <v>713</v>
      </c>
      <c r="E219">
        <v>79</v>
      </c>
      <c r="F219">
        <v>31</v>
      </c>
      <c r="G219">
        <v>66</v>
      </c>
      <c r="H219" s="1">
        <v>2.2999999999999998</v>
      </c>
      <c r="I219" s="2">
        <v>45578</v>
      </c>
      <c r="J219" t="s">
        <v>714</v>
      </c>
      <c r="K219">
        <v>92</v>
      </c>
      <c r="L219" t="str">
        <f>IF(Table1[[#This Row],[Sales_Volume]]&gt;Table1[[#This Row],[Stock_Quantity]],"Pending","Fulfilled")</f>
        <v>Pending</v>
      </c>
      <c r="M219">
        <v>7</v>
      </c>
      <c r="N219">
        <v>13</v>
      </c>
      <c r="O219" t="str">
        <f>IF(Table1[[#This Row],[Stock_Quantity]]&lt;=Table1[[#This Row],[Reorder_Level]],"Reoeder required","Sufficient")</f>
        <v>Sufficient</v>
      </c>
      <c r="P219" t="str">
        <f>IF(Table1[[#This Row],[Stock_Quantity]]=0,"Out of stock","Available")</f>
        <v>Available</v>
      </c>
    </row>
    <row r="220" spans="1:16" x14ac:dyDescent="0.3">
      <c r="A220" t="s">
        <v>715</v>
      </c>
      <c r="B220" t="s">
        <v>669</v>
      </c>
      <c r="C220" t="s">
        <v>31</v>
      </c>
      <c r="D220" t="s">
        <v>716</v>
      </c>
      <c r="E220">
        <v>29</v>
      </c>
      <c r="F220">
        <v>83</v>
      </c>
      <c r="G220">
        <v>91</v>
      </c>
      <c r="H220" s="1">
        <v>2</v>
      </c>
      <c r="I220" s="2">
        <v>45695</v>
      </c>
      <c r="J220" t="s">
        <v>717</v>
      </c>
      <c r="K220">
        <v>81</v>
      </c>
      <c r="L220" t="str">
        <f>IF(Table1[[#This Row],[Sales_Volume]]&gt;Table1[[#This Row],[Stock_Quantity]],"Pending","Fulfilled")</f>
        <v>Pending</v>
      </c>
      <c r="M220">
        <v>5</v>
      </c>
      <c r="N220">
        <v>53</v>
      </c>
      <c r="O220" t="str">
        <f>IF(Table1[[#This Row],[Stock_Quantity]]&lt;=Table1[[#This Row],[Reorder_Level]],"Reoeder required","Sufficient")</f>
        <v>Reoeder required</v>
      </c>
      <c r="P220" t="str">
        <f>IF(Table1[[#This Row],[Stock_Quantity]]=0,"Out of stock","Available")</f>
        <v>Available</v>
      </c>
    </row>
    <row r="221" spans="1:16" x14ac:dyDescent="0.3">
      <c r="A221" t="s">
        <v>718</v>
      </c>
      <c r="B221" t="s">
        <v>459</v>
      </c>
      <c r="C221" t="s">
        <v>40</v>
      </c>
      <c r="D221" t="s">
        <v>719</v>
      </c>
      <c r="E221">
        <v>46</v>
      </c>
      <c r="F221">
        <v>51</v>
      </c>
      <c r="G221">
        <v>92</v>
      </c>
      <c r="H221" s="1">
        <v>2.2999999999999998</v>
      </c>
      <c r="I221" s="2">
        <v>45650</v>
      </c>
      <c r="J221" t="s">
        <v>720</v>
      </c>
      <c r="K221">
        <v>47</v>
      </c>
      <c r="L221" t="str">
        <f>IF(Table1[[#This Row],[Sales_Volume]]&gt;Table1[[#This Row],[Stock_Quantity]],"Pending","Fulfilled")</f>
        <v>Pending</v>
      </c>
      <c r="M221">
        <v>8</v>
      </c>
      <c r="N221">
        <v>25</v>
      </c>
      <c r="O221" t="str">
        <f>IF(Table1[[#This Row],[Stock_Quantity]]&lt;=Table1[[#This Row],[Reorder_Level]],"Reoeder required","Sufficient")</f>
        <v>Reoeder required</v>
      </c>
      <c r="P221" t="str">
        <f>IF(Table1[[#This Row],[Stock_Quantity]]=0,"Out of stock","Available")</f>
        <v>Available</v>
      </c>
    </row>
    <row r="222" spans="1:16" x14ac:dyDescent="0.3">
      <c r="A222" t="s">
        <v>721</v>
      </c>
      <c r="B222" t="s">
        <v>338</v>
      </c>
      <c r="C222" t="s">
        <v>31</v>
      </c>
      <c r="D222" t="s">
        <v>722</v>
      </c>
      <c r="E222">
        <v>42</v>
      </c>
      <c r="F222">
        <v>4</v>
      </c>
      <c r="G222">
        <v>53</v>
      </c>
      <c r="H222" s="1">
        <v>10</v>
      </c>
      <c r="I222" s="2">
        <v>45478</v>
      </c>
      <c r="J222" t="s">
        <v>723</v>
      </c>
      <c r="K222">
        <v>37</v>
      </c>
      <c r="L222" t="str">
        <f>IF(Table1[[#This Row],[Sales_Volume]]&gt;Table1[[#This Row],[Stock_Quantity]],"Pending","Fulfilled")</f>
        <v>Fulfilled</v>
      </c>
      <c r="M222">
        <v>2</v>
      </c>
      <c r="N222">
        <v>53</v>
      </c>
      <c r="O222" t="str">
        <f>IF(Table1[[#This Row],[Stock_Quantity]]&lt;=Table1[[#This Row],[Reorder_Level]],"Reoeder required","Sufficient")</f>
        <v>Sufficient</v>
      </c>
      <c r="P222" t="str">
        <f>IF(Table1[[#This Row],[Stock_Quantity]]=0,"Out of stock","Available")</f>
        <v>Available</v>
      </c>
    </row>
    <row r="223" spans="1:16" x14ac:dyDescent="0.3">
      <c r="A223" t="s">
        <v>724</v>
      </c>
      <c r="B223" t="s">
        <v>264</v>
      </c>
      <c r="C223" t="s">
        <v>45</v>
      </c>
      <c r="D223" t="s">
        <v>574</v>
      </c>
      <c r="E223">
        <v>16</v>
      </c>
      <c r="F223">
        <v>56</v>
      </c>
      <c r="G223">
        <v>13</v>
      </c>
      <c r="H223" s="1">
        <v>7.2</v>
      </c>
      <c r="I223" s="2">
        <v>45361</v>
      </c>
      <c r="J223" t="s">
        <v>725</v>
      </c>
      <c r="K223">
        <v>56</v>
      </c>
      <c r="L223" t="str">
        <f>IF(Table1[[#This Row],[Sales_Volume]]&gt;Table1[[#This Row],[Stock_Quantity]],"Pending","Fulfilled")</f>
        <v>Pending</v>
      </c>
      <c r="M223">
        <v>5</v>
      </c>
      <c r="N223">
        <v>28</v>
      </c>
      <c r="O223" t="str">
        <f>IF(Table1[[#This Row],[Stock_Quantity]]&lt;=Table1[[#This Row],[Reorder_Level]],"Reoeder required","Sufficient")</f>
        <v>Reoeder required</v>
      </c>
      <c r="P223" t="str">
        <f>IF(Table1[[#This Row],[Stock_Quantity]]=0,"Out of stock","Available")</f>
        <v>Available</v>
      </c>
    </row>
    <row r="224" spans="1:16" x14ac:dyDescent="0.3">
      <c r="A224" t="s">
        <v>726</v>
      </c>
      <c r="B224" t="s">
        <v>478</v>
      </c>
      <c r="C224" t="s">
        <v>99</v>
      </c>
      <c r="D224" t="s">
        <v>727</v>
      </c>
      <c r="E224">
        <v>89</v>
      </c>
      <c r="F224">
        <v>95</v>
      </c>
      <c r="G224">
        <v>41</v>
      </c>
      <c r="H224" s="1">
        <v>18</v>
      </c>
      <c r="I224" s="2">
        <v>45479</v>
      </c>
      <c r="J224" t="s">
        <v>728</v>
      </c>
      <c r="K224">
        <v>76</v>
      </c>
      <c r="L224" t="str">
        <f>IF(Table1[[#This Row],[Sales_Volume]]&gt;Table1[[#This Row],[Stock_Quantity]],"Pending","Fulfilled")</f>
        <v>Fulfilled</v>
      </c>
      <c r="M224">
        <v>5</v>
      </c>
      <c r="N224">
        <v>96</v>
      </c>
      <c r="O224" t="str">
        <f>IF(Table1[[#This Row],[Stock_Quantity]]&lt;=Table1[[#This Row],[Reorder_Level]],"Reoeder required","Sufficient")</f>
        <v>Reoeder required</v>
      </c>
      <c r="P224" t="str">
        <f>IF(Table1[[#This Row],[Stock_Quantity]]=0,"Out of stock","Available")</f>
        <v>Available</v>
      </c>
    </row>
    <row r="225" spans="1:16" x14ac:dyDescent="0.3">
      <c r="A225" t="s">
        <v>729</v>
      </c>
      <c r="B225" t="s">
        <v>258</v>
      </c>
      <c r="C225" t="s">
        <v>18</v>
      </c>
      <c r="D225" t="s">
        <v>108</v>
      </c>
      <c r="E225">
        <v>20</v>
      </c>
      <c r="F225">
        <v>43</v>
      </c>
      <c r="G225">
        <v>43</v>
      </c>
      <c r="H225" s="1">
        <v>25</v>
      </c>
      <c r="I225" s="2">
        <v>45349</v>
      </c>
      <c r="J225" t="s">
        <v>730</v>
      </c>
      <c r="K225">
        <v>73</v>
      </c>
      <c r="L225" t="str">
        <f>IF(Table1[[#This Row],[Sales_Volume]]&gt;Table1[[#This Row],[Stock_Quantity]],"Pending","Fulfilled")</f>
        <v>Pending</v>
      </c>
      <c r="M225">
        <v>4</v>
      </c>
      <c r="N225">
        <v>6</v>
      </c>
      <c r="O225" t="str">
        <f>IF(Table1[[#This Row],[Stock_Quantity]]&lt;=Table1[[#This Row],[Reorder_Level]],"Reoeder required","Sufficient")</f>
        <v>Reoeder required</v>
      </c>
      <c r="P225" t="str">
        <f>IF(Table1[[#This Row],[Stock_Quantity]]=0,"Out of stock","Available")</f>
        <v>Available</v>
      </c>
    </row>
    <row r="226" spans="1:16" x14ac:dyDescent="0.3">
      <c r="A226" t="s">
        <v>731</v>
      </c>
      <c r="B226" t="s">
        <v>180</v>
      </c>
      <c r="C226" t="s">
        <v>18</v>
      </c>
      <c r="D226" t="s">
        <v>617</v>
      </c>
      <c r="E226">
        <v>37</v>
      </c>
      <c r="F226">
        <v>94</v>
      </c>
      <c r="G226">
        <v>76</v>
      </c>
      <c r="H226" s="1">
        <v>15</v>
      </c>
      <c r="I226" s="2">
        <v>45676</v>
      </c>
      <c r="J226" t="s">
        <v>732</v>
      </c>
      <c r="K226">
        <v>94</v>
      </c>
      <c r="L226" t="str">
        <f>IF(Table1[[#This Row],[Sales_Volume]]&gt;Table1[[#This Row],[Stock_Quantity]],"Pending","Fulfilled")</f>
        <v>Pending</v>
      </c>
      <c r="M226">
        <v>8</v>
      </c>
      <c r="N226">
        <v>66</v>
      </c>
      <c r="O226" t="str">
        <f>IF(Table1[[#This Row],[Stock_Quantity]]&lt;=Table1[[#This Row],[Reorder_Level]],"Reoeder required","Sufficient")</f>
        <v>Reoeder required</v>
      </c>
      <c r="P226" t="str">
        <f>IF(Table1[[#This Row],[Stock_Quantity]]=0,"Out of stock","Available")</f>
        <v>Available</v>
      </c>
    </row>
    <row r="227" spans="1:16" x14ac:dyDescent="0.3">
      <c r="A227" t="s">
        <v>733</v>
      </c>
      <c r="B227" t="s">
        <v>80</v>
      </c>
      <c r="C227" t="s">
        <v>13</v>
      </c>
      <c r="D227" t="s">
        <v>734</v>
      </c>
      <c r="E227">
        <v>97</v>
      </c>
      <c r="F227">
        <v>41</v>
      </c>
      <c r="G227">
        <v>68</v>
      </c>
      <c r="H227" s="1">
        <v>1.5</v>
      </c>
      <c r="I227" s="2">
        <v>45569</v>
      </c>
      <c r="J227" t="s">
        <v>735</v>
      </c>
      <c r="K227">
        <v>35</v>
      </c>
      <c r="L227" t="str">
        <f>IF(Table1[[#This Row],[Sales_Volume]]&gt;Table1[[#This Row],[Stock_Quantity]],"Pending","Fulfilled")</f>
        <v>Fulfilled</v>
      </c>
      <c r="M227">
        <v>4</v>
      </c>
      <c r="N227">
        <v>16</v>
      </c>
      <c r="O227" t="str">
        <f>IF(Table1[[#This Row],[Stock_Quantity]]&lt;=Table1[[#This Row],[Reorder_Level]],"Reoeder required","Sufficient")</f>
        <v>Sufficient</v>
      </c>
      <c r="P227" t="str">
        <f>IF(Table1[[#This Row],[Stock_Quantity]]=0,"Out of stock","Available")</f>
        <v>Available</v>
      </c>
    </row>
    <row r="228" spans="1:16" x14ac:dyDescent="0.3">
      <c r="A228" t="s">
        <v>736</v>
      </c>
      <c r="B228" t="s">
        <v>76</v>
      </c>
      <c r="C228" t="s">
        <v>45</v>
      </c>
      <c r="D228" t="s">
        <v>737</v>
      </c>
      <c r="E228">
        <v>98</v>
      </c>
      <c r="F228">
        <v>77</v>
      </c>
      <c r="G228">
        <v>7</v>
      </c>
      <c r="H228" s="1">
        <v>7</v>
      </c>
      <c r="I228" s="2">
        <v>45615</v>
      </c>
      <c r="J228" t="s">
        <v>738</v>
      </c>
      <c r="K228">
        <v>92</v>
      </c>
      <c r="L228" t="str">
        <f>IF(Table1[[#This Row],[Sales_Volume]]&gt;Table1[[#This Row],[Stock_Quantity]],"Pending","Fulfilled")</f>
        <v>Fulfilled</v>
      </c>
      <c r="M228">
        <v>2</v>
      </c>
      <c r="N228">
        <v>29</v>
      </c>
      <c r="O228" t="str">
        <f>IF(Table1[[#This Row],[Stock_Quantity]]&lt;=Table1[[#This Row],[Reorder_Level]],"Reoeder required","Sufficient")</f>
        <v>Sufficient</v>
      </c>
      <c r="P228" t="str">
        <f>IF(Table1[[#This Row],[Stock_Quantity]]=0,"Out of stock","Available")</f>
        <v>Available</v>
      </c>
    </row>
    <row r="229" spans="1:16" x14ac:dyDescent="0.3">
      <c r="A229" t="s">
        <v>739</v>
      </c>
      <c r="B229" t="s">
        <v>197</v>
      </c>
      <c r="C229" t="s">
        <v>31</v>
      </c>
      <c r="D229" t="s">
        <v>740</v>
      </c>
      <c r="E229">
        <v>37</v>
      </c>
      <c r="F229">
        <v>8</v>
      </c>
      <c r="G229">
        <v>50</v>
      </c>
      <c r="H229" s="1">
        <v>6</v>
      </c>
      <c r="I229" s="2">
        <v>45429</v>
      </c>
      <c r="J229" t="s">
        <v>741</v>
      </c>
      <c r="K229">
        <v>47</v>
      </c>
      <c r="L229" t="str">
        <f>IF(Table1[[#This Row],[Sales_Volume]]&gt;Table1[[#This Row],[Stock_Quantity]],"Pending","Fulfilled")</f>
        <v>Pending</v>
      </c>
      <c r="M229">
        <v>4</v>
      </c>
      <c r="N229">
        <v>62</v>
      </c>
      <c r="O229" t="str">
        <f>IF(Table1[[#This Row],[Stock_Quantity]]&lt;=Table1[[#This Row],[Reorder_Level]],"Reoeder required","Sufficient")</f>
        <v>Sufficient</v>
      </c>
      <c r="P229" t="str">
        <f>IF(Table1[[#This Row],[Stock_Quantity]]=0,"Out of stock","Available")</f>
        <v>Available</v>
      </c>
    </row>
    <row r="230" spans="1:16" x14ac:dyDescent="0.3">
      <c r="A230" t="s">
        <v>742</v>
      </c>
      <c r="B230" t="s">
        <v>743</v>
      </c>
      <c r="C230" t="s">
        <v>65</v>
      </c>
      <c r="D230" t="s">
        <v>744</v>
      </c>
      <c r="E230">
        <v>97</v>
      </c>
      <c r="F230">
        <v>99</v>
      </c>
      <c r="G230">
        <v>96</v>
      </c>
      <c r="H230" s="1">
        <v>4</v>
      </c>
      <c r="I230" s="2">
        <v>45679</v>
      </c>
      <c r="J230" t="s">
        <v>745</v>
      </c>
      <c r="K230">
        <v>57</v>
      </c>
      <c r="L230" t="str">
        <f>IF(Table1[[#This Row],[Sales_Volume]]&gt;Table1[[#This Row],[Stock_Quantity]],"Pending","Fulfilled")</f>
        <v>Fulfilled</v>
      </c>
      <c r="M230">
        <v>1</v>
      </c>
      <c r="N230">
        <v>42</v>
      </c>
      <c r="O230" t="str">
        <f>IF(Table1[[#This Row],[Stock_Quantity]]&lt;=Table1[[#This Row],[Reorder_Level]],"Reoeder required","Sufficient")</f>
        <v>Reoeder required</v>
      </c>
      <c r="P230" t="str">
        <f>IF(Table1[[#This Row],[Stock_Quantity]]=0,"Out of stock","Available")</f>
        <v>Available</v>
      </c>
    </row>
    <row r="231" spans="1:16" x14ac:dyDescent="0.3">
      <c r="A231" t="s">
        <v>746</v>
      </c>
      <c r="B231" t="s">
        <v>17</v>
      </c>
      <c r="C231" t="s">
        <v>18</v>
      </c>
      <c r="D231" t="s">
        <v>81</v>
      </c>
      <c r="E231">
        <v>97</v>
      </c>
      <c r="F231">
        <v>77</v>
      </c>
      <c r="G231">
        <v>99</v>
      </c>
      <c r="H231" s="1">
        <v>20</v>
      </c>
      <c r="I231" s="2">
        <v>45406</v>
      </c>
      <c r="J231" t="s">
        <v>747</v>
      </c>
      <c r="K231">
        <v>74</v>
      </c>
      <c r="L231" t="str">
        <f>IF(Table1[[#This Row],[Sales_Volume]]&gt;Table1[[#This Row],[Stock_Quantity]],"Pending","Fulfilled")</f>
        <v>Fulfilled</v>
      </c>
      <c r="M231">
        <v>6</v>
      </c>
      <c r="N231">
        <v>98</v>
      </c>
      <c r="O231" t="str">
        <f>IF(Table1[[#This Row],[Stock_Quantity]]&lt;=Table1[[#This Row],[Reorder_Level]],"Reoeder required","Sufficient")</f>
        <v>Sufficient</v>
      </c>
      <c r="P231" t="str">
        <f>IF(Table1[[#This Row],[Stock_Quantity]]=0,"Out of stock","Available")</f>
        <v>Available</v>
      </c>
    </row>
    <row r="232" spans="1:16" x14ac:dyDescent="0.3">
      <c r="A232" t="s">
        <v>748</v>
      </c>
      <c r="B232" t="s">
        <v>176</v>
      </c>
      <c r="C232" t="s">
        <v>31</v>
      </c>
      <c r="D232" t="s">
        <v>205</v>
      </c>
      <c r="E232">
        <v>90</v>
      </c>
      <c r="F232">
        <v>92</v>
      </c>
      <c r="G232">
        <v>56</v>
      </c>
      <c r="H232" s="1">
        <v>2.5</v>
      </c>
      <c r="I232" s="2">
        <v>45409</v>
      </c>
      <c r="J232" t="s">
        <v>749</v>
      </c>
      <c r="K232">
        <v>71</v>
      </c>
      <c r="L232" t="str">
        <f>IF(Table1[[#This Row],[Sales_Volume]]&gt;Table1[[#This Row],[Stock_Quantity]],"Pending","Fulfilled")</f>
        <v>Fulfilled</v>
      </c>
      <c r="M232">
        <v>5</v>
      </c>
      <c r="N232">
        <v>13</v>
      </c>
      <c r="O232" t="str">
        <f>IF(Table1[[#This Row],[Stock_Quantity]]&lt;=Table1[[#This Row],[Reorder_Level]],"Reoeder required","Sufficient")</f>
        <v>Reoeder required</v>
      </c>
      <c r="P232" t="str">
        <f>IF(Table1[[#This Row],[Stock_Quantity]]=0,"Out of stock","Available")</f>
        <v>Available</v>
      </c>
    </row>
    <row r="233" spans="1:16" x14ac:dyDescent="0.3">
      <c r="A233" t="s">
        <v>750</v>
      </c>
      <c r="B233" t="s">
        <v>17</v>
      </c>
      <c r="C233" t="s">
        <v>18</v>
      </c>
      <c r="D233" t="s">
        <v>751</v>
      </c>
      <c r="E233">
        <v>46</v>
      </c>
      <c r="F233">
        <v>31</v>
      </c>
      <c r="G233">
        <v>89</v>
      </c>
      <c r="H233" s="1">
        <v>20</v>
      </c>
      <c r="I233" s="2">
        <v>45372</v>
      </c>
      <c r="J233" t="s">
        <v>752</v>
      </c>
      <c r="K233">
        <v>59</v>
      </c>
      <c r="L233" t="str">
        <f>IF(Table1[[#This Row],[Sales_Volume]]&gt;Table1[[#This Row],[Stock_Quantity]],"Pending","Fulfilled")</f>
        <v>Pending</v>
      </c>
      <c r="M233">
        <v>5</v>
      </c>
      <c r="N233">
        <v>65</v>
      </c>
      <c r="O233" t="str">
        <f>IF(Table1[[#This Row],[Stock_Quantity]]&lt;=Table1[[#This Row],[Reorder_Level]],"Reoeder required","Sufficient")</f>
        <v>Sufficient</v>
      </c>
      <c r="P233" t="str">
        <f>IF(Table1[[#This Row],[Stock_Quantity]]=0,"Out of stock","Available")</f>
        <v>Available</v>
      </c>
    </row>
    <row r="234" spans="1:16" x14ac:dyDescent="0.3">
      <c r="A234" t="s">
        <v>753</v>
      </c>
      <c r="B234" t="s">
        <v>268</v>
      </c>
      <c r="C234" t="s">
        <v>31</v>
      </c>
      <c r="D234" t="s">
        <v>754</v>
      </c>
      <c r="E234">
        <v>40</v>
      </c>
      <c r="F234">
        <v>8</v>
      </c>
      <c r="G234">
        <v>98</v>
      </c>
      <c r="H234" s="1">
        <v>4</v>
      </c>
      <c r="I234" s="2">
        <v>45694</v>
      </c>
      <c r="J234" t="s">
        <v>755</v>
      </c>
      <c r="K234">
        <v>86</v>
      </c>
      <c r="L234" t="str">
        <f>IF(Table1[[#This Row],[Sales_Volume]]&gt;Table1[[#This Row],[Stock_Quantity]],"Pending","Fulfilled")</f>
        <v>Pending</v>
      </c>
      <c r="M234">
        <v>7</v>
      </c>
      <c r="N234">
        <v>12</v>
      </c>
      <c r="O234" t="str">
        <f>IF(Table1[[#This Row],[Stock_Quantity]]&lt;=Table1[[#This Row],[Reorder_Level]],"Reoeder required","Sufficient")</f>
        <v>Sufficient</v>
      </c>
      <c r="P234" t="str">
        <f>IF(Table1[[#This Row],[Stock_Quantity]]=0,"Out of stock","Available")</f>
        <v>Available</v>
      </c>
    </row>
    <row r="235" spans="1:16" x14ac:dyDescent="0.3">
      <c r="A235" t="s">
        <v>756</v>
      </c>
      <c r="B235" t="s">
        <v>757</v>
      </c>
      <c r="C235" t="s">
        <v>31</v>
      </c>
      <c r="D235" t="s">
        <v>758</v>
      </c>
      <c r="E235">
        <v>77</v>
      </c>
      <c r="F235">
        <v>52</v>
      </c>
      <c r="G235">
        <v>28</v>
      </c>
      <c r="H235" s="1">
        <v>4</v>
      </c>
      <c r="I235" s="2">
        <v>45615</v>
      </c>
      <c r="J235" t="s">
        <v>759</v>
      </c>
      <c r="K235">
        <v>48</v>
      </c>
      <c r="L235" t="str">
        <f>IF(Table1[[#This Row],[Sales_Volume]]&gt;Table1[[#This Row],[Stock_Quantity]],"Pending","Fulfilled")</f>
        <v>Fulfilled</v>
      </c>
      <c r="M235">
        <v>3</v>
      </c>
      <c r="N235">
        <v>43</v>
      </c>
      <c r="O235" t="str">
        <f>IF(Table1[[#This Row],[Stock_Quantity]]&lt;=Table1[[#This Row],[Reorder_Level]],"Reoeder required","Sufficient")</f>
        <v>Sufficient</v>
      </c>
      <c r="P235" t="str">
        <f>IF(Table1[[#This Row],[Stock_Quantity]]=0,"Out of stock","Available")</f>
        <v>Available</v>
      </c>
    </row>
    <row r="236" spans="1:16" x14ac:dyDescent="0.3">
      <c r="A236" t="s">
        <v>760</v>
      </c>
      <c r="B236" t="s">
        <v>80</v>
      </c>
      <c r="C236" t="s">
        <v>13</v>
      </c>
      <c r="D236" t="s">
        <v>710</v>
      </c>
      <c r="E236">
        <v>62</v>
      </c>
      <c r="F236">
        <v>79</v>
      </c>
      <c r="G236">
        <v>23</v>
      </c>
      <c r="H236" s="1">
        <v>1.5</v>
      </c>
      <c r="I236" s="2">
        <v>45350</v>
      </c>
      <c r="J236" t="s">
        <v>761</v>
      </c>
      <c r="K236">
        <v>32</v>
      </c>
      <c r="L236" t="str">
        <f>IF(Table1[[#This Row],[Sales_Volume]]&gt;Table1[[#This Row],[Stock_Quantity]],"Pending","Fulfilled")</f>
        <v>Fulfilled</v>
      </c>
      <c r="M236">
        <v>3</v>
      </c>
      <c r="N236">
        <v>80</v>
      </c>
      <c r="O236" t="str">
        <f>IF(Table1[[#This Row],[Stock_Quantity]]&lt;=Table1[[#This Row],[Reorder_Level]],"Reoeder required","Sufficient")</f>
        <v>Reoeder required</v>
      </c>
      <c r="P236" t="str">
        <f>IF(Table1[[#This Row],[Stock_Quantity]]=0,"Out of stock","Available")</f>
        <v>Available</v>
      </c>
    </row>
    <row r="237" spans="1:16" x14ac:dyDescent="0.3">
      <c r="A237" t="s">
        <v>762</v>
      </c>
      <c r="B237" t="s">
        <v>146</v>
      </c>
      <c r="C237" t="s">
        <v>18</v>
      </c>
      <c r="D237" t="s">
        <v>763</v>
      </c>
      <c r="E237">
        <v>59</v>
      </c>
      <c r="F237">
        <v>17</v>
      </c>
      <c r="G237">
        <v>1</v>
      </c>
      <c r="H237" s="1">
        <v>30</v>
      </c>
      <c r="I237" s="2">
        <v>45530</v>
      </c>
      <c r="J237" t="s">
        <v>764</v>
      </c>
      <c r="K237">
        <v>69</v>
      </c>
      <c r="L237" t="str">
        <f>IF(Table1[[#This Row],[Sales_Volume]]&gt;Table1[[#This Row],[Stock_Quantity]],"Pending","Fulfilled")</f>
        <v>Pending</v>
      </c>
      <c r="M237">
        <v>4</v>
      </c>
      <c r="N237">
        <v>82</v>
      </c>
      <c r="O237" t="str">
        <f>IF(Table1[[#This Row],[Stock_Quantity]]&lt;=Table1[[#This Row],[Reorder_Level]],"Reoeder required","Sufficient")</f>
        <v>Sufficient</v>
      </c>
      <c r="P237" t="str">
        <f>IF(Table1[[#This Row],[Stock_Quantity]]=0,"Out of stock","Available")</f>
        <v>Available</v>
      </c>
    </row>
    <row r="238" spans="1:16" x14ac:dyDescent="0.3">
      <c r="A238" t="s">
        <v>765</v>
      </c>
      <c r="B238" t="s">
        <v>338</v>
      </c>
      <c r="C238" t="s">
        <v>31</v>
      </c>
      <c r="D238" t="s">
        <v>158</v>
      </c>
      <c r="E238">
        <v>23</v>
      </c>
      <c r="F238">
        <v>38</v>
      </c>
      <c r="G238">
        <v>54</v>
      </c>
      <c r="H238" s="1">
        <v>10</v>
      </c>
      <c r="I238" s="2">
        <v>45487</v>
      </c>
      <c r="J238" t="s">
        <v>766</v>
      </c>
      <c r="K238">
        <v>40</v>
      </c>
      <c r="L238" t="str">
        <f>IF(Table1[[#This Row],[Sales_Volume]]&gt;Table1[[#This Row],[Stock_Quantity]],"Pending","Fulfilled")</f>
        <v>Pending</v>
      </c>
      <c r="M238">
        <v>6</v>
      </c>
      <c r="N238">
        <v>15</v>
      </c>
      <c r="O238" t="str">
        <f>IF(Table1[[#This Row],[Stock_Quantity]]&lt;=Table1[[#This Row],[Reorder_Level]],"Reoeder required","Sufficient")</f>
        <v>Reoeder required</v>
      </c>
      <c r="P238" t="str">
        <f>IF(Table1[[#This Row],[Stock_Quantity]]=0,"Out of stock","Available")</f>
        <v>Available</v>
      </c>
    </row>
    <row r="239" spans="1:16" x14ac:dyDescent="0.3">
      <c r="A239" t="s">
        <v>767</v>
      </c>
      <c r="B239" t="s">
        <v>743</v>
      </c>
      <c r="C239" t="s">
        <v>65</v>
      </c>
      <c r="D239" t="s">
        <v>419</v>
      </c>
      <c r="E239">
        <v>39</v>
      </c>
      <c r="F239">
        <v>16</v>
      </c>
      <c r="G239">
        <v>57</v>
      </c>
      <c r="H239" s="1">
        <v>4</v>
      </c>
      <c r="I239" s="2">
        <v>45391</v>
      </c>
      <c r="J239" t="s">
        <v>768</v>
      </c>
      <c r="K239">
        <v>98</v>
      </c>
      <c r="L239" t="str">
        <f>IF(Table1[[#This Row],[Sales_Volume]]&gt;Table1[[#This Row],[Stock_Quantity]],"Pending","Fulfilled")</f>
        <v>Pending</v>
      </c>
      <c r="M239">
        <v>8</v>
      </c>
      <c r="N239">
        <v>12</v>
      </c>
      <c r="O239" t="str">
        <f>IF(Table1[[#This Row],[Stock_Quantity]]&lt;=Table1[[#This Row],[Reorder_Level]],"Reoeder required","Sufficient")</f>
        <v>Sufficient</v>
      </c>
      <c r="P239" t="str">
        <f>IF(Table1[[#This Row],[Stock_Quantity]]=0,"Out of stock","Available")</f>
        <v>Available</v>
      </c>
    </row>
    <row r="240" spans="1:16" x14ac:dyDescent="0.3">
      <c r="A240" t="s">
        <v>769</v>
      </c>
      <c r="B240" t="s">
        <v>469</v>
      </c>
      <c r="C240" t="s">
        <v>45</v>
      </c>
      <c r="D240" t="s">
        <v>143</v>
      </c>
      <c r="E240">
        <v>68</v>
      </c>
      <c r="F240">
        <v>29</v>
      </c>
      <c r="G240">
        <v>31</v>
      </c>
      <c r="H240" s="1">
        <v>7</v>
      </c>
      <c r="I240" s="2">
        <v>45446</v>
      </c>
      <c r="J240" t="s">
        <v>770</v>
      </c>
      <c r="K240">
        <v>53</v>
      </c>
      <c r="L240" t="str">
        <f>IF(Table1[[#This Row],[Sales_Volume]]&gt;Table1[[#This Row],[Stock_Quantity]],"Pending","Fulfilled")</f>
        <v>Fulfilled</v>
      </c>
      <c r="M240">
        <v>8</v>
      </c>
      <c r="N240">
        <v>20</v>
      </c>
      <c r="O240" t="str">
        <f>IF(Table1[[#This Row],[Stock_Quantity]]&lt;=Table1[[#This Row],[Reorder_Level]],"Reoeder required","Sufficient")</f>
        <v>Sufficient</v>
      </c>
      <c r="P240" t="str">
        <f>IF(Table1[[#This Row],[Stock_Quantity]]=0,"Out of stock","Available")</f>
        <v>Available</v>
      </c>
    </row>
    <row r="241" spans="1:16" x14ac:dyDescent="0.3">
      <c r="A241" t="s">
        <v>771</v>
      </c>
      <c r="B241" t="s">
        <v>385</v>
      </c>
      <c r="C241" t="s">
        <v>13</v>
      </c>
      <c r="D241" t="s">
        <v>772</v>
      </c>
      <c r="E241">
        <v>75</v>
      </c>
      <c r="F241">
        <v>46</v>
      </c>
      <c r="G241">
        <v>75</v>
      </c>
      <c r="H241" s="1">
        <v>9.5</v>
      </c>
      <c r="I241" s="2">
        <v>45565</v>
      </c>
      <c r="J241" t="s">
        <v>773</v>
      </c>
      <c r="K241">
        <v>43</v>
      </c>
      <c r="L241" t="str">
        <f>IF(Table1[[#This Row],[Sales_Volume]]&gt;Table1[[#This Row],[Stock_Quantity]],"Pending","Fulfilled")</f>
        <v>Fulfilled</v>
      </c>
      <c r="M241">
        <v>8</v>
      </c>
      <c r="N241">
        <v>77</v>
      </c>
      <c r="O241" t="str">
        <f>IF(Table1[[#This Row],[Stock_Quantity]]&lt;=Table1[[#This Row],[Reorder_Level]],"Reoeder required","Sufficient")</f>
        <v>Sufficient</v>
      </c>
      <c r="P241" t="str">
        <f>IF(Table1[[#This Row],[Stock_Quantity]]=0,"Out of stock","Available")</f>
        <v>Available</v>
      </c>
    </row>
    <row r="242" spans="1:16" x14ac:dyDescent="0.3">
      <c r="A242" t="s">
        <v>774</v>
      </c>
      <c r="B242" t="s">
        <v>342</v>
      </c>
      <c r="C242" t="s">
        <v>65</v>
      </c>
      <c r="D242" t="s">
        <v>775</v>
      </c>
      <c r="E242">
        <v>96</v>
      </c>
      <c r="F242">
        <v>16</v>
      </c>
      <c r="G242">
        <v>48</v>
      </c>
      <c r="H242" s="1">
        <v>5</v>
      </c>
      <c r="I242" s="2">
        <v>45386</v>
      </c>
      <c r="J242" t="s">
        <v>776</v>
      </c>
      <c r="K242">
        <v>45</v>
      </c>
      <c r="L242" t="str">
        <f>IF(Table1[[#This Row],[Sales_Volume]]&gt;Table1[[#This Row],[Stock_Quantity]],"Pending","Fulfilled")</f>
        <v>Fulfilled</v>
      </c>
      <c r="M242">
        <v>8</v>
      </c>
      <c r="N242">
        <v>68</v>
      </c>
      <c r="O242" t="str">
        <f>IF(Table1[[#This Row],[Stock_Quantity]]&lt;=Table1[[#This Row],[Reorder_Level]],"Reoeder required","Sufficient")</f>
        <v>Sufficient</v>
      </c>
      <c r="P242" t="str">
        <f>IF(Table1[[#This Row],[Stock_Quantity]]=0,"Out of stock","Available")</f>
        <v>Available</v>
      </c>
    </row>
    <row r="243" spans="1:16" x14ac:dyDescent="0.3">
      <c r="A243" t="s">
        <v>777</v>
      </c>
      <c r="B243" t="s">
        <v>150</v>
      </c>
      <c r="C243" t="s">
        <v>99</v>
      </c>
      <c r="D243" t="s">
        <v>778</v>
      </c>
      <c r="E243">
        <v>17</v>
      </c>
      <c r="F243">
        <v>38</v>
      </c>
      <c r="G243">
        <v>93</v>
      </c>
      <c r="H243" s="1">
        <v>9</v>
      </c>
      <c r="I243" s="2">
        <v>45524</v>
      </c>
      <c r="J243" t="s">
        <v>779</v>
      </c>
      <c r="K243">
        <v>100</v>
      </c>
      <c r="L243" t="str">
        <f>IF(Table1[[#This Row],[Sales_Volume]]&gt;Table1[[#This Row],[Stock_Quantity]],"Pending","Fulfilled")</f>
        <v>Pending</v>
      </c>
      <c r="M243">
        <v>5</v>
      </c>
      <c r="N243">
        <v>63</v>
      </c>
      <c r="O243" t="str">
        <f>IF(Table1[[#This Row],[Stock_Quantity]]&lt;=Table1[[#This Row],[Reorder_Level]],"Reoeder required","Sufficient")</f>
        <v>Reoeder required</v>
      </c>
      <c r="P243" t="str">
        <f>IF(Table1[[#This Row],[Stock_Quantity]]=0,"Out of stock","Available")</f>
        <v>Available</v>
      </c>
    </row>
    <row r="244" spans="1:16" x14ac:dyDescent="0.3">
      <c r="A244" t="s">
        <v>780</v>
      </c>
      <c r="B244" t="s">
        <v>53</v>
      </c>
      <c r="C244" t="s">
        <v>45</v>
      </c>
      <c r="D244" t="s">
        <v>781</v>
      </c>
      <c r="E244">
        <v>23</v>
      </c>
      <c r="F244">
        <v>38</v>
      </c>
      <c r="G244">
        <v>25</v>
      </c>
      <c r="H244" s="1">
        <v>1</v>
      </c>
      <c r="I244" s="2">
        <v>45709</v>
      </c>
      <c r="J244" t="s">
        <v>782</v>
      </c>
      <c r="K244">
        <v>84</v>
      </c>
      <c r="L244" t="str">
        <f>IF(Table1[[#This Row],[Sales_Volume]]&gt;Table1[[#This Row],[Stock_Quantity]],"Pending","Fulfilled")</f>
        <v>Pending</v>
      </c>
      <c r="M244">
        <v>8</v>
      </c>
      <c r="N244">
        <v>78</v>
      </c>
      <c r="O244" t="str">
        <f>IF(Table1[[#This Row],[Stock_Quantity]]&lt;=Table1[[#This Row],[Reorder_Level]],"Reoeder required","Sufficient")</f>
        <v>Reoeder required</v>
      </c>
      <c r="P244" t="str">
        <f>IF(Table1[[#This Row],[Stock_Quantity]]=0,"Out of stock","Available")</f>
        <v>Available</v>
      </c>
    </row>
    <row r="245" spans="1:16" x14ac:dyDescent="0.3">
      <c r="A245" t="s">
        <v>783</v>
      </c>
      <c r="B245" t="s">
        <v>425</v>
      </c>
      <c r="C245" t="s">
        <v>31</v>
      </c>
      <c r="D245" t="s">
        <v>293</v>
      </c>
      <c r="E245">
        <v>15</v>
      </c>
      <c r="F245">
        <v>27</v>
      </c>
      <c r="G245">
        <v>21</v>
      </c>
      <c r="H245" s="1">
        <v>4</v>
      </c>
      <c r="I245" s="2">
        <v>45709</v>
      </c>
      <c r="J245" t="s">
        <v>784</v>
      </c>
      <c r="K245">
        <v>37</v>
      </c>
      <c r="L245" t="str">
        <f>IF(Table1[[#This Row],[Sales_Volume]]&gt;Table1[[#This Row],[Stock_Quantity]],"Pending","Fulfilled")</f>
        <v>Pending</v>
      </c>
      <c r="M245">
        <v>5</v>
      </c>
      <c r="N245">
        <v>67</v>
      </c>
      <c r="O245" t="str">
        <f>IF(Table1[[#This Row],[Stock_Quantity]]&lt;=Table1[[#This Row],[Reorder_Level]],"Reoeder required","Sufficient")</f>
        <v>Reoeder required</v>
      </c>
      <c r="P245" t="str">
        <f>IF(Table1[[#This Row],[Stock_Quantity]]=0,"Out of stock","Available")</f>
        <v>Available</v>
      </c>
    </row>
    <row r="246" spans="1:16" x14ac:dyDescent="0.3">
      <c r="A246" t="s">
        <v>785</v>
      </c>
      <c r="B246" t="s">
        <v>786</v>
      </c>
      <c r="C246" t="s">
        <v>99</v>
      </c>
      <c r="D246" t="s">
        <v>787</v>
      </c>
      <c r="E246">
        <v>71</v>
      </c>
      <c r="F246">
        <v>7</v>
      </c>
      <c r="G246">
        <v>6</v>
      </c>
      <c r="H246" s="1">
        <v>7.5</v>
      </c>
      <c r="I246" s="2">
        <v>45628</v>
      </c>
      <c r="J246" t="s">
        <v>788</v>
      </c>
      <c r="K246">
        <v>52</v>
      </c>
      <c r="L246" t="str">
        <f>IF(Table1[[#This Row],[Sales_Volume]]&gt;Table1[[#This Row],[Stock_Quantity]],"Pending","Fulfilled")</f>
        <v>Fulfilled</v>
      </c>
      <c r="M246">
        <v>5</v>
      </c>
      <c r="N246">
        <v>68</v>
      </c>
      <c r="O246" t="str">
        <f>IF(Table1[[#This Row],[Stock_Quantity]]&lt;=Table1[[#This Row],[Reorder_Level]],"Reoeder required","Sufficient")</f>
        <v>Sufficient</v>
      </c>
      <c r="P246" t="str">
        <f>IF(Table1[[#This Row],[Stock_Quantity]]=0,"Out of stock","Available")</f>
        <v>Available</v>
      </c>
    </row>
    <row r="247" spans="1:16" x14ac:dyDescent="0.3">
      <c r="A247" t="s">
        <v>789</v>
      </c>
      <c r="B247" t="s">
        <v>44</v>
      </c>
      <c r="C247" t="s">
        <v>45</v>
      </c>
      <c r="D247" t="s">
        <v>790</v>
      </c>
      <c r="E247">
        <v>97</v>
      </c>
      <c r="F247">
        <v>26</v>
      </c>
      <c r="G247">
        <v>15</v>
      </c>
      <c r="H247" s="1">
        <v>2.5</v>
      </c>
      <c r="I247" s="2">
        <v>45691</v>
      </c>
      <c r="J247" t="s">
        <v>791</v>
      </c>
      <c r="K247">
        <v>33</v>
      </c>
      <c r="L247" t="str">
        <f>IF(Table1[[#This Row],[Sales_Volume]]&gt;Table1[[#This Row],[Stock_Quantity]],"Pending","Fulfilled")</f>
        <v>Fulfilled</v>
      </c>
      <c r="M247">
        <v>5</v>
      </c>
      <c r="N247">
        <v>58</v>
      </c>
      <c r="O247" t="str">
        <f>IF(Table1[[#This Row],[Stock_Quantity]]&lt;=Table1[[#This Row],[Reorder_Level]],"Reoeder required","Sufficient")</f>
        <v>Sufficient</v>
      </c>
      <c r="P247" t="str">
        <f>IF(Table1[[#This Row],[Stock_Quantity]]=0,"Out of stock","Available")</f>
        <v>Available</v>
      </c>
    </row>
    <row r="248" spans="1:16" x14ac:dyDescent="0.3">
      <c r="A248" t="s">
        <v>792</v>
      </c>
      <c r="B248" t="s">
        <v>164</v>
      </c>
      <c r="C248" t="s">
        <v>31</v>
      </c>
      <c r="D248" t="s">
        <v>208</v>
      </c>
      <c r="E248">
        <v>29</v>
      </c>
      <c r="F248">
        <v>18</v>
      </c>
      <c r="G248">
        <v>86</v>
      </c>
      <c r="H248" s="1">
        <v>2.5</v>
      </c>
      <c r="I248" s="2">
        <v>45612</v>
      </c>
      <c r="J248" t="s">
        <v>793</v>
      </c>
      <c r="K248">
        <v>53</v>
      </c>
      <c r="L248" t="str">
        <f>IF(Table1[[#This Row],[Sales_Volume]]&gt;Table1[[#This Row],[Stock_Quantity]],"Pending","Fulfilled")</f>
        <v>Pending</v>
      </c>
      <c r="M248">
        <v>8</v>
      </c>
      <c r="N248">
        <v>69</v>
      </c>
      <c r="O248" t="str">
        <f>IF(Table1[[#This Row],[Stock_Quantity]]&lt;=Table1[[#This Row],[Reorder_Level]],"Reoeder required","Sufficient")</f>
        <v>Sufficient</v>
      </c>
      <c r="P248" t="str">
        <f>IF(Table1[[#This Row],[Stock_Quantity]]=0,"Out of stock","Available")</f>
        <v>Available</v>
      </c>
    </row>
    <row r="249" spans="1:16" x14ac:dyDescent="0.3">
      <c r="A249" t="s">
        <v>794</v>
      </c>
      <c r="B249" t="s">
        <v>283</v>
      </c>
      <c r="C249" t="s">
        <v>31</v>
      </c>
      <c r="D249" t="s">
        <v>772</v>
      </c>
      <c r="E249">
        <v>46</v>
      </c>
      <c r="F249">
        <v>64</v>
      </c>
      <c r="G249">
        <v>17</v>
      </c>
      <c r="H249" s="1">
        <v>4.5999999999999996</v>
      </c>
      <c r="I249" s="2">
        <v>45663</v>
      </c>
      <c r="J249" t="s">
        <v>795</v>
      </c>
      <c r="K249">
        <v>96</v>
      </c>
      <c r="L249" t="str">
        <f>IF(Table1[[#This Row],[Sales_Volume]]&gt;Table1[[#This Row],[Stock_Quantity]],"Pending","Fulfilled")</f>
        <v>Pending</v>
      </c>
      <c r="M249">
        <v>5</v>
      </c>
      <c r="N249">
        <v>55</v>
      </c>
      <c r="O249" t="str">
        <f>IF(Table1[[#This Row],[Stock_Quantity]]&lt;=Table1[[#This Row],[Reorder_Level]],"Reoeder required","Sufficient")</f>
        <v>Reoeder required</v>
      </c>
      <c r="P249" t="str">
        <f>IF(Table1[[#This Row],[Stock_Quantity]]=0,"Out of stock","Available")</f>
        <v>Available</v>
      </c>
    </row>
    <row r="250" spans="1:16" x14ac:dyDescent="0.3">
      <c r="A250" t="s">
        <v>796</v>
      </c>
      <c r="B250" t="s">
        <v>346</v>
      </c>
      <c r="C250" t="s">
        <v>45</v>
      </c>
      <c r="D250" t="s">
        <v>611</v>
      </c>
      <c r="E250">
        <v>76</v>
      </c>
      <c r="F250">
        <v>15</v>
      </c>
      <c r="G250">
        <v>99</v>
      </c>
      <c r="H250" s="1">
        <v>9.5</v>
      </c>
      <c r="I250" s="2">
        <v>45499</v>
      </c>
      <c r="J250" t="s">
        <v>797</v>
      </c>
      <c r="K250">
        <v>60</v>
      </c>
      <c r="L250" t="str">
        <f>IF(Table1[[#This Row],[Sales_Volume]]&gt;Table1[[#This Row],[Stock_Quantity]],"Pending","Fulfilled")</f>
        <v>Fulfilled</v>
      </c>
      <c r="M250">
        <v>6</v>
      </c>
      <c r="N250">
        <v>49</v>
      </c>
      <c r="O250" t="str">
        <f>IF(Table1[[#This Row],[Stock_Quantity]]&lt;=Table1[[#This Row],[Reorder_Level]],"Reoeder required","Sufficient")</f>
        <v>Sufficient</v>
      </c>
      <c r="P250" t="str">
        <f>IF(Table1[[#This Row],[Stock_Quantity]]=0,"Out of stock","Available")</f>
        <v>Available</v>
      </c>
    </row>
    <row r="251" spans="1:16" x14ac:dyDescent="0.3">
      <c r="A251" t="s">
        <v>798</v>
      </c>
      <c r="B251" t="s">
        <v>164</v>
      </c>
      <c r="C251" t="s">
        <v>31</v>
      </c>
      <c r="D251" t="s">
        <v>611</v>
      </c>
      <c r="E251">
        <v>59</v>
      </c>
      <c r="F251">
        <v>91</v>
      </c>
      <c r="G251">
        <v>24</v>
      </c>
      <c r="H251" s="1">
        <v>2.5</v>
      </c>
      <c r="I251" s="2">
        <v>45472</v>
      </c>
      <c r="J251" t="s">
        <v>799</v>
      </c>
      <c r="K251">
        <v>54</v>
      </c>
      <c r="L251" t="str">
        <f>IF(Table1[[#This Row],[Sales_Volume]]&gt;Table1[[#This Row],[Stock_Quantity]],"Pending","Fulfilled")</f>
        <v>Fulfilled</v>
      </c>
      <c r="M251">
        <v>6</v>
      </c>
      <c r="N251">
        <v>87</v>
      </c>
      <c r="O251" t="str">
        <f>IF(Table1[[#This Row],[Stock_Quantity]]&lt;=Table1[[#This Row],[Reorder_Level]],"Reoeder required","Sufficient")</f>
        <v>Reoeder required</v>
      </c>
      <c r="P251" t="str">
        <f>IF(Table1[[#This Row],[Stock_Quantity]]=0,"Out of stock","Available")</f>
        <v>Available</v>
      </c>
    </row>
    <row r="252" spans="1:16" x14ac:dyDescent="0.3">
      <c r="A252" t="s">
        <v>800</v>
      </c>
      <c r="B252" t="s">
        <v>211</v>
      </c>
      <c r="C252" t="s">
        <v>31</v>
      </c>
      <c r="D252" t="s">
        <v>801</v>
      </c>
      <c r="E252">
        <v>92</v>
      </c>
      <c r="F252">
        <v>54</v>
      </c>
      <c r="G252">
        <v>73</v>
      </c>
      <c r="H252" s="1">
        <v>3.1</v>
      </c>
      <c r="I252" s="2">
        <v>45674</v>
      </c>
      <c r="J252" t="s">
        <v>802</v>
      </c>
      <c r="K252">
        <v>79</v>
      </c>
      <c r="L252" t="str">
        <f>IF(Table1[[#This Row],[Sales_Volume]]&gt;Table1[[#This Row],[Stock_Quantity]],"Pending","Fulfilled")</f>
        <v>Fulfilled</v>
      </c>
      <c r="M252">
        <v>7</v>
      </c>
      <c r="N252">
        <v>1</v>
      </c>
      <c r="O252" t="str">
        <f>IF(Table1[[#This Row],[Stock_Quantity]]&lt;=Table1[[#This Row],[Reorder_Level]],"Reoeder required","Sufficient")</f>
        <v>Sufficient</v>
      </c>
      <c r="P252" t="str">
        <f>IF(Table1[[#This Row],[Stock_Quantity]]=0,"Out of stock","Available")</f>
        <v>Available</v>
      </c>
    </row>
    <row r="253" spans="1:16" x14ac:dyDescent="0.3">
      <c r="A253" t="s">
        <v>803</v>
      </c>
      <c r="B253" t="s">
        <v>197</v>
      </c>
      <c r="C253" t="s">
        <v>31</v>
      </c>
      <c r="D253" t="s">
        <v>716</v>
      </c>
      <c r="E253">
        <v>28</v>
      </c>
      <c r="F253">
        <v>27</v>
      </c>
      <c r="G253">
        <v>22</v>
      </c>
      <c r="H253" s="1">
        <v>6</v>
      </c>
      <c r="I253" s="2">
        <v>45519</v>
      </c>
      <c r="J253" t="s">
        <v>804</v>
      </c>
      <c r="K253">
        <v>70</v>
      </c>
      <c r="L253" t="str">
        <f>IF(Table1[[#This Row],[Sales_Volume]]&gt;Table1[[#This Row],[Stock_Quantity]],"Pending","Fulfilled")</f>
        <v>Pending</v>
      </c>
      <c r="M253">
        <v>2</v>
      </c>
      <c r="N253">
        <v>30</v>
      </c>
      <c r="O253" t="str">
        <f>IF(Table1[[#This Row],[Stock_Quantity]]&lt;=Table1[[#This Row],[Reorder_Level]],"Reoeder required","Sufficient")</f>
        <v>Sufficient</v>
      </c>
      <c r="P253" t="str">
        <f>IF(Table1[[#This Row],[Stock_Quantity]]=0,"Out of stock","Available")</f>
        <v>Available</v>
      </c>
    </row>
    <row r="254" spans="1:16" x14ac:dyDescent="0.3">
      <c r="A254" t="s">
        <v>805</v>
      </c>
      <c r="B254" t="s">
        <v>405</v>
      </c>
      <c r="C254" t="s">
        <v>31</v>
      </c>
      <c r="D254" t="s">
        <v>806</v>
      </c>
      <c r="E254">
        <v>19</v>
      </c>
      <c r="F254">
        <v>47</v>
      </c>
      <c r="G254">
        <v>25</v>
      </c>
      <c r="H254" s="1">
        <v>5</v>
      </c>
      <c r="I254" s="2">
        <v>45712</v>
      </c>
      <c r="J254" t="s">
        <v>807</v>
      </c>
      <c r="K254">
        <v>96</v>
      </c>
      <c r="L254" t="str">
        <f>IF(Table1[[#This Row],[Sales_Volume]]&gt;Table1[[#This Row],[Stock_Quantity]],"Pending","Fulfilled")</f>
        <v>Pending</v>
      </c>
      <c r="M254">
        <v>2</v>
      </c>
      <c r="N254">
        <v>37</v>
      </c>
      <c r="O254" t="str">
        <f>IF(Table1[[#This Row],[Stock_Quantity]]&lt;=Table1[[#This Row],[Reorder_Level]],"Reoeder required","Sufficient")</f>
        <v>Reoeder required</v>
      </c>
      <c r="P254" t="str">
        <f>IF(Table1[[#This Row],[Stock_Quantity]]=0,"Out of stock","Available")</f>
        <v>Available</v>
      </c>
    </row>
    <row r="255" spans="1:16" x14ac:dyDescent="0.3">
      <c r="A255" t="s">
        <v>808</v>
      </c>
      <c r="B255" t="s">
        <v>183</v>
      </c>
      <c r="C255" t="s">
        <v>45</v>
      </c>
      <c r="D255" t="s">
        <v>566</v>
      </c>
      <c r="E255">
        <v>85</v>
      </c>
      <c r="F255">
        <v>28</v>
      </c>
      <c r="G255">
        <v>21</v>
      </c>
      <c r="H255" s="1">
        <v>3</v>
      </c>
      <c r="I255" s="2">
        <v>45473</v>
      </c>
      <c r="J255" t="s">
        <v>809</v>
      </c>
      <c r="K255">
        <v>45</v>
      </c>
      <c r="L255" t="str">
        <f>IF(Table1[[#This Row],[Sales_Volume]]&gt;Table1[[#This Row],[Stock_Quantity]],"Pending","Fulfilled")</f>
        <v>Fulfilled</v>
      </c>
      <c r="M255">
        <v>1</v>
      </c>
      <c r="N255">
        <v>89</v>
      </c>
      <c r="O255" t="str">
        <f>IF(Table1[[#This Row],[Stock_Quantity]]&lt;=Table1[[#This Row],[Reorder_Level]],"Reoeder required","Sufficient")</f>
        <v>Sufficient</v>
      </c>
      <c r="P255" t="str">
        <f>IF(Table1[[#This Row],[Stock_Quantity]]=0,"Out of stock","Available")</f>
        <v>Available</v>
      </c>
    </row>
    <row r="256" spans="1:16" x14ac:dyDescent="0.3">
      <c r="A256" t="s">
        <v>810</v>
      </c>
      <c r="B256" t="s">
        <v>80</v>
      </c>
      <c r="C256" t="s">
        <v>13</v>
      </c>
      <c r="D256" t="s">
        <v>811</v>
      </c>
      <c r="E256">
        <v>57</v>
      </c>
      <c r="F256">
        <v>63</v>
      </c>
      <c r="G256">
        <v>41</v>
      </c>
      <c r="H256" s="1">
        <v>1.5</v>
      </c>
      <c r="I256" s="2">
        <v>45705</v>
      </c>
      <c r="J256" t="s">
        <v>812</v>
      </c>
      <c r="K256">
        <v>53</v>
      </c>
      <c r="L256" t="str">
        <f>IF(Table1[[#This Row],[Sales_Volume]]&gt;Table1[[#This Row],[Stock_Quantity]],"Pending","Fulfilled")</f>
        <v>Fulfilled</v>
      </c>
      <c r="M256">
        <v>8</v>
      </c>
      <c r="N256">
        <v>94</v>
      </c>
      <c r="O256" t="str">
        <f>IF(Table1[[#This Row],[Stock_Quantity]]&lt;=Table1[[#This Row],[Reorder_Level]],"Reoeder required","Sufficient")</f>
        <v>Reoeder required</v>
      </c>
      <c r="P256" t="str">
        <f>IF(Table1[[#This Row],[Stock_Quantity]]=0,"Out of stock","Available")</f>
        <v>Available</v>
      </c>
    </row>
    <row r="257" spans="1:16" x14ac:dyDescent="0.3">
      <c r="A257" t="s">
        <v>813</v>
      </c>
      <c r="B257" t="s">
        <v>268</v>
      </c>
      <c r="C257" t="s">
        <v>31</v>
      </c>
      <c r="D257" t="s">
        <v>814</v>
      </c>
      <c r="E257">
        <v>95</v>
      </c>
      <c r="F257">
        <v>29</v>
      </c>
      <c r="G257">
        <v>28</v>
      </c>
      <c r="H257" s="1">
        <v>4</v>
      </c>
      <c r="I257" s="2">
        <v>45673</v>
      </c>
      <c r="J257" t="s">
        <v>815</v>
      </c>
      <c r="K257">
        <v>52</v>
      </c>
      <c r="L257" t="str">
        <f>IF(Table1[[#This Row],[Sales_Volume]]&gt;Table1[[#This Row],[Stock_Quantity]],"Pending","Fulfilled")</f>
        <v>Fulfilled</v>
      </c>
      <c r="M257">
        <v>4</v>
      </c>
      <c r="N257">
        <v>46</v>
      </c>
      <c r="O257" t="str">
        <f>IF(Table1[[#This Row],[Stock_Quantity]]&lt;=Table1[[#This Row],[Reorder_Level]],"Reoeder required","Sufficient")</f>
        <v>Sufficient</v>
      </c>
      <c r="P257" t="str">
        <f>IF(Table1[[#This Row],[Stock_Quantity]]=0,"Out of stock","Available")</f>
        <v>Available</v>
      </c>
    </row>
    <row r="258" spans="1:16" x14ac:dyDescent="0.3">
      <c r="A258" t="s">
        <v>816</v>
      </c>
      <c r="B258" t="s">
        <v>12</v>
      </c>
      <c r="C258" t="s">
        <v>13</v>
      </c>
      <c r="D258" t="s">
        <v>817</v>
      </c>
      <c r="E258">
        <v>84</v>
      </c>
      <c r="F258">
        <v>69</v>
      </c>
      <c r="G258">
        <v>77</v>
      </c>
      <c r="H258" s="1">
        <v>4.5</v>
      </c>
      <c r="I258" s="2">
        <v>45654</v>
      </c>
      <c r="J258" t="s">
        <v>818</v>
      </c>
      <c r="K258">
        <v>39</v>
      </c>
      <c r="L258" t="str">
        <f>IF(Table1[[#This Row],[Sales_Volume]]&gt;Table1[[#This Row],[Stock_Quantity]],"Pending","Fulfilled")</f>
        <v>Fulfilled</v>
      </c>
      <c r="M258">
        <v>7</v>
      </c>
      <c r="N258">
        <v>69</v>
      </c>
      <c r="O258" t="str">
        <f>IF(Table1[[#This Row],[Stock_Quantity]]&lt;=Table1[[#This Row],[Reorder_Level]],"Reoeder required","Sufficient")</f>
        <v>Sufficient</v>
      </c>
      <c r="P258" t="str">
        <f>IF(Table1[[#This Row],[Stock_Quantity]]=0,"Out of stock","Available")</f>
        <v>Available</v>
      </c>
    </row>
    <row r="259" spans="1:16" x14ac:dyDescent="0.3">
      <c r="A259" t="s">
        <v>819</v>
      </c>
      <c r="B259" t="s">
        <v>363</v>
      </c>
      <c r="C259" t="s">
        <v>13</v>
      </c>
      <c r="D259" t="s">
        <v>353</v>
      </c>
      <c r="E259">
        <v>31</v>
      </c>
      <c r="F259">
        <v>32</v>
      </c>
      <c r="G259">
        <v>69</v>
      </c>
      <c r="H259" s="1">
        <v>2</v>
      </c>
      <c r="I259" s="2">
        <v>45447</v>
      </c>
      <c r="J259" t="s">
        <v>820</v>
      </c>
      <c r="K259">
        <v>38</v>
      </c>
      <c r="L259" t="str">
        <f>IF(Table1[[#This Row],[Sales_Volume]]&gt;Table1[[#This Row],[Stock_Quantity]],"Pending","Fulfilled")</f>
        <v>Pending</v>
      </c>
      <c r="M259">
        <v>6</v>
      </c>
      <c r="N259">
        <v>23</v>
      </c>
      <c r="O259" t="str">
        <f>IF(Table1[[#This Row],[Stock_Quantity]]&lt;=Table1[[#This Row],[Reorder_Level]],"Reoeder required","Sufficient")</f>
        <v>Reoeder required</v>
      </c>
      <c r="P259" t="str">
        <f>IF(Table1[[#This Row],[Stock_Quantity]]=0,"Out of stock","Available")</f>
        <v>Available</v>
      </c>
    </row>
    <row r="260" spans="1:16" x14ac:dyDescent="0.3">
      <c r="A260" t="s">
        <v>821</v>
      </c>
      <c r="B260" t="s">
        <v>130</v>
      </c>
      <c r="C260" t="s">
        <v>31</v>
      </c>
      <c r="D260" t="s">
        <v>822</v>
      </c>
      <c r="E260">
        <v>41</v>
      </c>
      <c r="F260">
        <v>52</v>
      </c>
      <c r="G260">
        <v>75</v>
      </c>
      <c r="H260" s="1">
        <v>4.5</v>
      </c>
      <c r="I260" s="2">
        <v>45406</v>
      </c>
      <c r="J260" t="s">
        <v>823</v>
      </c>
      <c r="K260">
        <v>57</v>
      </c>
      <c r="L260" t="str">
        <f>IF(Table1[[#This Row],[Sales_Volume]]&gt;Table1[[#This Row],[Stock_Quantity]],"Pending","Fulfilled")</f>
        <v>Pending</v>
      </c>
      <c r="M260">
        <v>6</v>
      </c>
      <c r="N260">
        <v>62</v>
      </c>
      <c r="O260" t="str">
        <f>IF(Table1[[#This Row],[Stock_Quantity]]&lt;=Table1[[#This Row],[Reorder_Level]],"Reoeder required","Sufficient")</f>
        <v>Reoeder required</v>
      </c>
      <c r="P260" t="str">
        <f>IF(Table1[[#This Row],[Stock_Quantity]]=0,"Out of stock","Available")</f>
        <v>Available</v>
      </c>
    </row>
    <row r="261" spans="1:16" x14ac:dyDescent="0.3">
      <c r="A261" t="s">
        <v>824</v>
      </c>
      <c r="B261" t="s">
        <v>76</v>
      </c>
      <c r="C261" t="s">
        <v>45</v>
      </c>
      <c r="D261" t="s">
        <v>240</v>
      </c>
      <c r="E261">
        <v>97</v>
      </c>
      <c r="F261">
        <v>57</v>
      </c>
      <c r="G261">
        <v>84</v>
      </c>
      <c r="H261" s="1">
        <v>7</v>
      </c>
      <c r="I261" s="2">
        <v>45533</v>
      </c>
      <c r="J261" t="s">
        <v>825</v>
      </c>
      <c r="K261">
        <v>95</v>
      </c>
      <c r="L261" t="str">
        <f>IF(Table1[[#This Row],[Sales_Volume]]&gt;Table1[[#This Row],[Stock_Quantity]],"Pending","Fulfilled")</f>
        <v>Fulfilled</v>
      </c>
      <c r="M261">
        <v>5</v>
      </c>
      <c r="N261">
        <v>28</v>
      </c>
      <c r="O261" t="str">
        <f>IF(Table1[[#This Row],[Stock_Quantity]]&lt;=Table1[[#This Row],[Reorder_Level]],"Reoeder required","Sufficient")</f>
        <v>Sufficient</v>
      </c>
      <c r="P261" t="str">
        <f>IF(Table1[[#This Row],[Stock_Quantity]]=0,"Out of stock","Available")</f>
        <v>Available</v>
      </c>
    </row>
    <row r="262" spans="1:16" x14ac:dyDescent="0.3">
      <c r="A262" t="s">
        <v>826</v>
      </c>
      <c r="B262" t="s">
        <v>827</v>
      </c>
      <c r="C262" t="s">
        <v>45</v>
      </c>
      <c r="D262" t="s">
        <v>828</v>
      </c>
      <c r="E262">
        <v>43</v>
      </c>
      <c r="F262">
        <v>88</v>
      </c>
      <c r="G262">
        <v>33</v>
      </c>
      <c r="H262" s="1">
        <v>1</v>
      </c>
      <c r="I262" s="2">
        <v>45691</v>
      </c>
      <c r="J262" t="s">
        <v>829</v>
      </c>
      <c r="K262">
        <v>84</v>
      </c>
      <c r="L262" t="str">
        <f>IF(Table1[[#This Row],[Sales_Volume]]&gt;Table1[[#This Row],[Stock_Quantity]],"Pending","Fulfilled")</f>
        <v>Pending</v>
      </c>
      <c r="M262">
        <v>5</v>
      </c>
      <c r="N262">
        <v>75</v>
      </c>
      <c r="O262" t="str">
        <f>IF(Table1[[#This Row],[Stock_Quantity]]&lt;=Table1[[#This Row],[Reorder_Level]],"Reoeder required","Sufficient")</f>
        <v>Reoeder required</v>
      </c>
      <c r="P262" t="str">
        <f>IF(Table1[[#This Row],[Stock_Quantity]]=0,"Out of stock","Available")</f>
        <v>Available</v>
      </c>
    </row>
    <row r="263" spans="1:16" x14ac:dyDescent="0.3">
      <c r="A263" t="s">
        <v>830</v>
      </c>
      <c r="B263" t="s">
        <v>350</v>
      </c>
      <c r="C263" t="s">
        <v>40</v>
      </c>
      <c r="D263" t="s">
        <v>57</v>
      </c>
      <c r="E263">
        <v>74</v>
      </c>
      <c r="F263">
        <v>4</v>
      </c>
      <c r="G263">
        <v>67</v>
      </c>
      <c r="H263" s="1">
        <v>1.8</v>
      </c>
      <c r="I263" s="2">
        <v>45395</v>
      </c>
      <c r="J263" t="s">
        <v>831</v>
      </c>
      <c r="K263">
        <v>31</v>
      </c>
      <c r="L263" t="str">
        <f>IF(Table1[[#This Row],[Sales_Volume]]&gt;Table1[[#This Row],[Stock_Quantity]],"Pending","Fulfilled")</f>
        <v>Fulfilled</v>
      </c>
      <c r="M263">
        <v>2</v>
      </c>
      <c r="N263">
        <v>34</v>
      </c>
      <c r="O263" t="str">
        <f>IF(Table1[[#This Row],[Stock_Quantity]]&lt;=Table1[[#This Row],[Reorder_Level]],"Reoeder required","Sufficient")</f>
        <v>Sufficient</v>
      </c>
      <c r="P263" t="str">
        <f>IF(Table1[[#This Row],[Stock_Quantity]]=0,"Out of stock","Available")</f>
        <v>Available</v>
      </c>
    </row>
    <row r="264" spans="1:16" x14ac:dyDescent="0.3">
      <c r="A264" t="s">
        <v>832</v>
      </c>
      <c r="B264" t="s">
        <v>80</v>
      </c>
      <c r="C264" t="s">
        <v>13</v>
      </c>
      <c r="D264" t="s">
        <v>833</v>
      </c>
      <c r="E264">
        <v>70</v>
      </c>
      <c r="F264">
        <v>96</v>
      </c>
      <c r="G264">
        <v>92</v>
      </c>
      <c r="H264" s="1">
        <v>1.5</v>
      </c>
      <c r="I264" s="2">
        <v>45590</v>
      </c>
      <c r="J264" t="s">
        <v>834</v>
      </c>
      <c r="K264">
        <v>27</v>
      </c>
      <c r="L264" t="str">
        <f>IF(Table1[[#This Row],[Sales_Volume]]&gt;Table1[[#This Row],[Stock_Quantity]],"Pending","Fulfilled")</f>
        <v>Fulfilled</v>
      </c>
      <c r="M264">
        <v>3</v>
      </c>
      <c r="N264">
        <v>58</v>
      </c>
      <c r="O264" t="str">
        <f>IF(Table1[[#This Row],[Stock_Quantity]]&lt;=Table1[[#This Row],[Reorder_Level]],"Reoeder required","Sufficient")</f>
        <v>Reoeder required</v>
      </c>
      <c r="P264" t="str">
        <f>IF(Table1[[#This Row],[Stock_Quantity]]=0,"Out of stock","Available")</f>
        <v>Available</v>
      </c>
    </row>
    <row r="265" spans="1:16" x14ac:dyDescent="0.3">
      <c r="A265" t="s">
        <v>835</v>
      </c>
      <c r="B265" t="s">
        <v>346</v>
      </c>
      <c r="C265" t="s">
        <v>45</v>
      </c>
      <c r="D265" t="s">
        <v>702</v>
      </c>
      <c r="E265">
        <v>69</v>
      </c>
      <c r="F265">
        <v>53</v>
      </c>
      <c r="G265">
        <v>32</v>
      </c>
      <c r="H265" s="1">
        <v>9.1999999999999993</v>
      </c>
      <c r="I265" s="2">
        <v>45440</v>
      </c>
      <c r="J265" t="s">
        <v>836</v>
      </c>
      <c r="K265">
        <v>28</v>
      </c>
      <c r="L265" t="str">
        <f>IF(Table1[[#This Row],[Sales_Volume]]&gt;Table1[[#This Row],[Stock_Quantity]],"Pending","Fulfilled")</f>
        <v>Fulfilled</v>
      </c>
      <c r="M265">
        <v>2</v>
      </c>
      <c r="N265">
        <v>56</v>
      </c>
      <c r="O265" t="str">
        <f>IF(Table1[[#This Row],[Stock_Quantity]]&lt;=Table1[[#This Row],[Reorder_Level]],"Reoeder required","Sufficient")</f>
        <v>Sufficient</v>
      </c>
      <c r="P265" t="str">
        <f>IF(Table1[[#This Row],[Stock_Quantity]]=0,"Out of stock","Available")</f>
        <v>Available</v>
      </c>
    </row>
    <row r="266" spans="1:16" x14ac:dyDescent="0.3">
      <c r="A266" t="s">
        <v>837</v>
      </c>
      <c r="B266" t="s">
        <v>239</v>
      </c>
      <c r="C266" t="s">
        <v>31</v>
      </c>
      <c r="D266" t="s">
        <v>838</v>
      </c>
      <c r="E266">
        <v>67</v>
      </c>
      <c r="F266">
        <v>68</v>
      </c>
      <c r="G266">
        <v>50</v>
      </c>
      <c r="H266" s="1">
        <v>1.5</v>
      </c>
      <c r="I266" s="2">
        <v>45617</v>
      </c>
      <c r="J266" t="s">
        <v>839</v>
      </c>
      <c r="K266">
        <v>67</v>
      </c>
      <c r="L266" t="str">
        <f>IF(Table1[[#This Row],[Sales_Volume]]&gt;Table1[[#This Row],[Stock_Quantity]],"Pending","Fulfilled")</f>
        <v>Fulfilled</v>
      </c>
      <c r="M266">
        <v>2</v>
      </c>
      <c r="N266">
        <v>82</v>
      </c>
      <c r="O266" t="str">
        <f>IF(Table1[[#This Row],[Stock_Quantity]]&lt;=Table1[[#This Row],[Reorder_Level]],"Reoeder required","Sufficient")</f>
        <v>Reoeder required</v>
      </c>
      <c r="P266" t="str">
        <f>IF(Table1[[#This Row],[Stock_Quantity]]=0,"Out of stock","Available")</f>
        <v>Available</v>
      </c>
    </row>
    <row r="267" spans="1:16" x14ac:dyDescent="0.3">
      <c r="A267" t="s">
        <v>840</v>
      </c>
      <c r="B267" t="s">
        <v>168</v>
      </c>
      <c r="C267" t="s">
        <v>13</v>
      </c>
      <c r="D267" t="s">
        <v>323</v>
      </c>
      <c r="E267">
        <v>18</v>
      </c>
      <c r="F267">
        <v>62</v>
      </c>
      <c r="G267">
        <v>2</v>
      </c>
      <c r="H267" s="1">
        <v>3</v>
      </c>
      <c r="I267" s="2">
        <v>45410</v>
      </c>
      <c r="J267" t="s">
        <v>841</v>
      </c>
      <c r="K267">
        <v>61</v>
      </c>
      <c r="L267" t="str">
        <f>IF(Table1[[#This Row],[Sales_Volume]]&gt;Table1[[#This Row],[Stock_Quantity]],"Pending","Fulfilled")</f>
        <v>Pending</v>
      </c>
      <c r="M267">
        <v>3</v>
      </c>
      <c r="N267">
        <v>78</v>
      </c>
      <c r="O267" t="str">
        <f>IF(Table1[[#This Row],[Stock_Quantity]]&lt;=Table1[[#This Row],[Reorder_Level]],"Reoeder required","Sufficient")</f>
        <v>Reoeder required</v>
      </c>
      <c r="P267" t="str">
        <f>IF(Table1[[#This Row],[Stock_Quantity]]=0,"Out of stock","Available")</f>
        <v>Available</v>
      </c>
    </row>
    <row r="268" spans="1:16" x14ac:dyDescent="0.3">
      <c r="A268" t="s">
        <v>842</v>
      </c>
      <c r="B268" t="s">
        <v>17</v>
      </c>
      <c r="C268" t="s">
        <v>18</v>
      </c>
      <c r="D268" t="s">
        <v>843</v>
      </c>
      <c r="E268">
        <v>22</v>
      </c>
      <c r="F268">
        <v>89</v>
      </c>
      <c r="G268">
        <v>25</v>
      </c>
      <c r="H268" s="1">
        <v>21</v>
      </c>
      <c r="I268" s="2">
        <v>45623</v>
      </c>
      <c r="J268" t="s">
        <v>844</v>
      </c>
      <c r="K268">
        <v>30</v>
      </c>
      <c r="L268" t="str">
        <f>IF(Table1[[#This Row],[Sales_Volume]]&gt;Table1[[#This Row],[Stock_Quantity]],"Pending","Fulfilled")</f>
        <v>Pending</v>
      </c>
      <c r="M268">
        <v>5</v>
      </c>
      <c r="N268">
        <v>62</v>
      </c>
      <c r="O268" t="str">
        <f>IF(Table1[[#This Row],[Stock_Quantity]]&lt;=Table1[[#This Row],[Reorder_Level]],"Reoeder required","Sufficient")</f>
        <v>Reoeder required</v>
      </c>
      <c r="P268" t="str">
        <f>IF(Table1[[#This Row],[Stock_Quantity]]=0,"Out of stock","Available")</f>
        <v>Available</v>
      </c>
    </row>
    <row r="269" spans="1:16" x14ac:dyDescent="0.3">
      <c r="A269" t="s">
        <v>845</v>
      </c>
      <c r="B269" t="s">
        <v>846</v>
      </c>
      <c r="C269" t="s">
        <v>31</v>
      </c>
      <c r="D269" t="s">
        <v>847</v>
      </c>
      <c r="E269">
        <v>88</v>
      </c>
      <c r="F269">
        <v>99</v>
      </c>
      <c r="G269">
        <v>41</v>
      </c>
      <c r="H269" s="1">
        <v>5.5</v>
      </c>
      <c r="I269" s="2">
        <v>45432</v>
      </c>
      <c r="J269" t="s">
        <v>848</v>
      </c>
      <c r="K269">
        <v>93</v>
      </c>
      <c r="L269" t="str">
        <f>IF(Table1[[#This Row],[Sales_Volume]]&gt;Table1[[#This Row],[Stock_Quantity]],"Pending","Fulfilled")</f>
        <v>Pending</v>
      </c>
      <c r="M269">
        <v>8</v>
      </c>
      <c r="N269">
        <v>99</v>
      </c>
      <c r="O269" t="str">
        <f>IF(Table1[[#This Row],[Stock_Quantity]]&lt;=Table1[[#This Row],[Reorder_Level]],"Reoeder required","Sufficient")</f>
        <v>Reoeder required</v>
      </c>
      <c r="P269" t="str">
        <f>IF(Table1[[#This Row],[Stock_Quantity]]=0,"Out of stock","Available")</f>
        <v>Available</v>
      </c>
    </row>
    <row r="270" spans="1:16" x14ac:dyDescent="0.3">
      <c r="A270" t="s">
        <v>849</v>
      </c>
      <c r="B270" t="s">
        <v>390</v>
      </c>
      <c r="C270" t="s">
        <v>99</v>
      </c>
      <c r="D270" t="s">
        <v>850</v>
      </c>
      <c r="E270">
        <v>78</v>
      </c>
      <c r="F270">
        <v>75</v>
      </c>
      <c r="G270">
        <v>3</v>
      </c>
      <c r="H270" s="1">
        <v>7</v>
      </c>
      <c r="I270" s="2">
        <v>45644</v>
      </c>
      <c r="J270" t="s">
        <v>851</v>
      </c>
      <c r="K270">
        <v>63</v>
      </c>
      <c r="L270" t="str">
        <f>IF(Table1[[#This Row],[Sales_Volume]]&gt;Table1[[#This Row],[Stock_Quantity]],"Pending","Fulfilled")</f>
        <v>Fulfilled</v>
      </c>
      <c r="M270">
        <v>2</v>
      </c>
      <c r="N270">
        <v>100</v>
      </c>
      <c r="O270" t="str">
        <f>IF(Table1[[#This Row],[Stock_Quantity]]&lt;=Table1[[#This Row],[Reorder_Level]],"Reoeder required","Sufficient")</f>
        <v>Sufficient</v>
      </c>
      <c r="P270" t="str">
        <f>IF(Table1[[#This Row],[Stock_Quantity]]=0,"Out of stock","Available")</f>
        <v>Available</v>
      </c>
    </row>
    <row r="271" spans="1:16" x14ac:dyDescent="0.3">
      <c r="A271" t="s">
        <v>852</v>
      </c>
      <c r="B271" t="s">
        <v>142</v>
      </c>
      <c r="C271" t="s">
        <v>40</v>
      </c>
      <c r="D271" t="s">
        <v>853</v>
      </c>
      <c r="E271">
        <v>83</v>
      </c>
      <c r="F271">
        <v>52</v>
      </c>
      <c r="G271">
        <v>32</v>
      </c>
      <c r="H271" s="1">
        <v>6</v>
      </c>
      <c r="I271" s="2">
        <v>45530</v>
      </c>
      <c r="J271" t="s">
        <v>854</v>
      </c>
      <c r="K271">
        <v>47</v>
      </c>
      <c r="L271" t="str">
        <f>IF(Table1[[#This Row],[Sales_Volume]]&gt;Table1[[#This Row],[Stock_Quantity]],"Pending","Fulfilled")</f>
        <v>Fulfilled</v>
      </c>
      <c r="M271">
        <v>7</v>
      </c>
      <c r="N271">
        <v>7</v>
      </c>
      <c r="O271" t="str">
        <f>IF(Table1[[#This Row],[Stock_Quantity]]&lt;=Table1[[#This Row],[Reorder_Level]],"Reoeder required","Sufficient")</f>
        <v>Sufficient</v>
      </c>
      <c r="P271" t="str">
        <f>IF(Table1[[#This Row],[Stock_Quantity]]=0,"Out of stock","Available")</f>
        <v>Available</v>
      </c>
    </row>
    <row r="272" spans="1:16" x14ac:dyDescent="0.3">
      <c r="A272" t="s">
        <v>855</v>
      </c>
      <c r="B272" t="s">
        <v>591</v>
      </c>
      <c r="C272" t="s">
        <v>18</v>
      </c>
      <c r="D272" t="s">
        <v>856</v>
      </c>
      <c r="E272">
        <v>42</v>
      </c>
      <c r="F272">
        <v>88</v>
      </c>
      <c r="G272">
        <v>17</v>
      </c>
      <c r="H272" s="1">
        <v>10.5</v>
      </c>
      <c r="I272" s="2">
        <v>45632</v>
      </c>
      <c r="J272" t="s">
        <v>857</v>
      </c>
      <c r="K272">
        <v>34</v>
      </c>
      <c r="L272" t="str">
        <f>IF(Table1[[#This Row],[Sales_Volume]]&gt;Table1[[#This Row],[Stock_Quantity]],"Pending","Fulfilled")</f>
        <v>Fulfilled</v>
      </c>
      <c r="M272">
        <v>3</v>
      </c>
      <c r="N272">
        <v>51</v>
      </c>
      <c r="O272" t="str">
        <f>IF(Table1[[#This Row],[Stock_Quantity]]&lt;=Table1[[#This Row],[Reorder_Level]],"Reoeder required","Sufficient")</f>
        <v>Reoeder required</v>
      </c>
      <c r="P272" t="str">
        <f>IF(Table1[[#This Row],[Stock_Quantity]]=0,"Out of stock","Available")</f>
        <v>Available</v>
      </c>
    </row>
    <row r="273" spans="1:16" x14ac:dyDescent="0.3">
      <c r="A273" t="s">
        <v>858</v>
      </c>
      <c r="B273" t="s">
        <v>309</v>
      </c>
      <c r="C273" t="s">
        <v>31</v>
      </c>
      <c r="D273" t="s">
        <v>201</v>
      </c>
      <c r="E273">
        <v>49</v>
      </c>
      <c r="F273">
        <v>46</v>
      </c>
      <c r="G273">
        <v>8</v>
      </c>
      <c r="H273" s="1">
        <v>3</v>
      </c>
      <c r="I273" s="2">
        <v>45382</v>
      </c>
      <c r="J273" t="s">
        <v>859</v>
      </c>
      <c r="K273">
        <v>82</v>
      </c>
      <c r="L273" t="str">
        <f>IF(Table1[[#This Row],[Sales_Volume]]&gt;Table1[[#This Row],[Stock_Quantity]],"Pending","Fulfilled")</f>
        <v>Pending</v>
      </c>
      <c r="M273">
        <v>2</v>
      </c>
      <c r="N273">
        <v>21</v>
      </c>
      <c r="O273" t="str">
        <f>IF(Table1[[#This Row],[Stock_Quantity]]&lt;=Table1[[#This Row],[Reorder_Level]],"Reoeder required","Sufficient")</f>
        <v>Sufficient</v>
      </c>
      <c r="P273" t="str">
        <f>IF(Table1[[#This Row],[Stock_Quantity]]=0,"Out of stock","Available")</f>
        <v>Available</v>
      </c>
    </row>
    <row r="274" spans="1:16" x14ac:dyDescent="0.3">
      <c r="A274" t="s">
        <v>860</v>
      </c>
      <c r="B274" t="s">
        <v>861</v>
      </c>
      <c r="C274" t="s">
        <v>13</v>
      </c>
      <c r="D274" t="s">
        <v>314</v>
      </c>
      <c r="E274">
        <v>17</v>
      </c>
      <c r="F274">
        <v>88</v>
      </c>
      <c r="G274">
        <v>41</v>
      </c>
      <c r="H274" s="1">
        <v>2.5</v>
      </c>
      <c r="I274" s="2">
        <v>45707</v>
      </c>
      <c r="J274" t="s">
        <v>862</v>
      </c>
      <c r="K274">
        <v>45</v>
      </c>
      <c r="L274" t="str">
        <f>IF(Table1[[#This Row],[Sales_Volume]]&gt;Table1[[#This Row],[Stock_Quantity]],"Pending","Fulfilled")</f>
        <v>Pending</v>
      </c>
      <c r="M274">
        <v>2</v>
      </c>
      <c r="N274">
        <v>29</v>
      </c>
      <c r="O274" t="str">
        <f>IF(Table1[[#This Row],[Stock_Quantity]]&lt;=Table1[[#This Row],[Reorder_Level]],"Reoeder required","Sufficient")</f>
        <v>Reoeder required</v>
      </c>
      <c r="P274" t="str">
        <f>IF(Table1[[#This Row],[Stock_Quantity]]=0,"Out of stock","Available")</f>
        <v>Available</v>
      </c>
    </row>
    <row r="275" spans="1:16" x14ac:dyDescent="0.3">
      <c r="A275" t="s">
        <v>863</v>
      </c>
      <c r="B275" t="s">
        <v>482</v>
      </c>
      <c r="C275" t="s">
        <v>45</v>
      </c>
      <c r="D275" t="s">
        <v>864</v>
      </c>
      <c r="E275">
        <v>52</v>
      </c>
      <c r="F275">
        <v>64</v>
      </c>
      <c r="G275">
        <v>54</v>
      </c>
      <c r="H275" s="1">
        <v>2.4</v>
      </c>
      <c r="I275" s="2">
        <v>45544</v>
      </c>
      <c r="J275" t="s">
        <v>865</v>
      </c>
      <c r="K275">
        <v>21</v>
      </c>
      <c r="L275" t="str">
        <f>IF(Table1[[#This Row],[Sales_Volume]]&gt;Table1[[#This Row],[Stock_Quantity]],"Pending","Fulfilled")</f>
        <v>Fulfilled</v>
      </c>
      <c r="M275">
        <v>4</v>
      </c>
      <c r="N275">
        <v>55</v>
      </c>
      <c r="O275" t="str">
        <f>IF(Table1[[#This Row],[Stock_Quantity]]&lt;=Table1[[#This Row],[Reorder_Level]],"Reoeder required","Sufficient")</f>
        <v>Reoeder required</v>
      </c>
      <c r="P275" t="str">
        <f>IF(Table1[[#This Row],[Stock_Quantity]]=0,"Out of stock","Available")</f>
        <v>Available</v>
      </c>
    </row>
    <row r="276" spans="1:16" x14ac:dyDescent="0.3">
      <c r="A276" t="s">
        <v>866</v>
      </c>
      <c r="B276" t="s">
        <v>123</v>
      </c>
      <c r="C276" t="s">
        <v>31</v>
      </c>
      <c r="D276" t="s">
        <v>856</v>
      </c>
      <c r="E276">
        <v>79</v>
      </c>
      <c r="F276">
        <v>45</v>
      </c>
      <c r="G276">
        <v>39</v>
      </c>
      <c r="H276" s="1">
        <v>6</v>
      </c>
      <c r="I276" s="2">
        <v>45603</v>
      </c>
      <c r="J276" t="s">
        <v>867</v>
      </c>
      <c r="K276">
        <v>55</v>
      </c>
      <c r="L276" t="str">
        <f>IF(Table1[[#This Row],[Sales_Volume]]&gt;Table1[[#This Row],[Stock_Quantity]],"Pending","Fulfilled")</f>
        <v>Fulfilled</v>
      </c>
      <c r="M276">
        <v>1</v>
      </c>
      <c r="N276">
        <v>20</v>
      </c>
      <c r="O276" t="str">
        <f>IF(Table1[[#This Row],[Stock_Quantity]]&lt;=Table1[[#This Row],[Reorder_Level]],"Reoeder required","Sufficient")</f>
        <v>Sufficient</v>
      </c>
      <c r="P276" t="str">
        <f>IF(Table1[[#This Row],[Stock_Quantity]]=0,"Out of stock","Available")</f>
        <v>Available</v>
      </c>
    </row>
    <row r="277" spans="1:16" x14ac:dyDescent="0.3">
      <c r="A277" t="s">
        <v>868</v>
      </c>
      <c r="B277" t="s">
        <v>350</v>
      </c>
      <c r="C277" t="s">
        <v>40</v>
      </c>
      <c r="D277" t="s">
        <v>511</v>
      </c>
      <c r="E277">
        <v>35</v>
      </c>
      <c r="F277">
        <v>41</v>
      </c>
      <c r="G277">
        <v>84</v>
      </c>
      <c r="H277" s="1">
        <v>1.8</v>
      </c>
      <c r="I277" s="2">
        <v>45501</v>
      </c>
      <c r="J277" t="s">
        <v>869</v>
      </c>
      <c r="K277">
        <v>62</v>
      </c>
      <c r="L277" t="str">
        <f>IF(Table1[[#This Row],[Sales_Volume]]&gt;Table1[[#This Row],[Stock_Quantity]],"Pending","Fulfilled")</f>
        <v>Pending</v>
      </c>
      <c r="M277">
        <v>1</v>
      </c>
      <c r="N277">
        <v>14</v>
      </c>
      <c r="O277" t="str">
        <f>IF(Table1[[#This Row],[Stock_Quantity]]&lt;=Table1[[#This Row],[Reorder_Level]],"Reoeder required","Sufficient")</f>
        <v>Reoeder required</v>
      </c>
      <c r="P277" t="str">
        <f>IF(Table1[[#This Row],[Stock_Quantity]]=0,"Out of stock","Available")</f>
        <v>Available</v>
      </c>
    </row>
    <row r="278" spans="1:16" x14ac:dyDescent="0.3">
      <c r="A278" t="s">
        <v>870</v>
      </c>
      <c r="B278" t="s">
        <v>134</v>
      </c>
      <c r="C278" t="s">
        <v>31</v>
      </c>
      <c r="D278" t="s">
        <v>871</v>
      </c>
      <c r="E278">
        <v>76</v>
      </c>
      <c r="F278">
        <v>11</v>
      </c>
      <c r="G278">
        <v>15</v>
      </c>
      <c r="H278" s="1">
        <v>1.8</v>
      </c>
      <c r="I278" s="2">
        <v>45437</v>
      </c>
      <c r="J278" t="s">
        <v>872</v>
      </c>
      <c r="K278">
        <v>22</v>
      </c>
      <c r="L278" t="str">
        <f>IF(Table1[[#This Row],[Sales_Volume]]&gt;Table1[[#This Row],[Stock_Quantity]],"Pending","Fulfilled")</f>
        <v>Fulfilled</v>
      </c>
      <c r="M278">
        <v>4</v>
      </c>
      <c r="N278">
        <v>91</v>
      </c>
      <c r="O278" t="str">
        <f>IF(Table1[[#This Row],[Stock_Quantity]]&lt;=Table1[[#This Row],[Reorder_Level]],"Reoeder required","Sufficient")</f>
        <v>Sufficient</v>
      </c>
      <c r="P278" t="str">
        <f>IF(Table1[[#This Row],[Stock_Quantity]]=0,"Out of stock","Available")</f>
        <v>Available</v>
      </c>
    </row>
    <row r="279" spans="1:16" x14ac:dyDescent="0.3">
      <c r="A279" t="s">
        <v>873</v>
      </c>
      <c r="B279" t="s">
        <v>84</v>
      </c>
      <c r="C279" t="s">
        <v>45</v>
      </c>
      <c r="D279" t="s">
        <v>19</v>
      </c>
      <c r="E279">
        <v>93</v>
      </c>
      <c r="F279">
        <v>8</v>
      </c>
      <c r="G279">
        <v>51</v>
      </c>
      <c r="H279" s="1">
        <v>8</v>
      </c>
      <c r="I279" s="2">
        <v>45427</v>
      </c>
      <c r="J279" t="s">
        <v>874</v>
      </c>
      <c r="K279">
        <v>93</v>
      </c>
      <c r="L279" t="str">
        <f>IF(Table1[[#This Row],[Sales_Volume]]&gt;Table1[[#This Row],[Stock_Quantity]],"Pending","Fulfilled")</f>
        <v>Fulfilled</v>
      </c>
      <c r="M279">
        <v>3</v>
      </c>
      <c r="N279">
        <v>85</v>
      </c>
      <c r="O279" t="str">
        <f>IF(Table1[[#This Row],[Stock_Quantity]]&lt;=Table1[[#This Row],[Reorder_Level]],"Reoeder required","Sufficient")</f>
        <v>Sufficient</v>
      </c>
      <c r="P279" t="str">
        <f>IF(Table1[[#This Row],[Stock_Quantity]]=0,"Out of stock","Available")</f>
        <v>Available</v>
      </c>
    </row>
    <row r="280" spans="1:16" x14ac:dyDescent="0.3">
      <c r="A280" t="s">
        <v>875</v>
      </c>
      <c r="B280" t="s">
        <v>876</v>
      </c>
      <c r="C280" t="s">
        <v>99</v>
      </c>
      <c r="D280" t="s">
        <v>611</v>
      </c>
      <c r="E280">
        <v>40</v>
      </c>
      <c r="F280">
        <v>81</v>
      </c>
      <c r="G280">
        <v>78</v>
      </c>
      <c r="H280" s="1">
        <v>20</v>
      </c>
      <c r="I280" s="2">
        <v>45489</v>
      </c>
      <c r="J280" t="s">
        <v>877</v>
      </c>
      <c r="K280">
        <v>39</v>
      </c>
      <c r="L280" t="str">
        <f>IF(Table1[[#This Row],[Sales_Volume]]&gt;Table1[[#This Row],[Stock_Quantity]],"Pending","Fulfilled")</f>
        <v>Fulfilled</v>
      </c>
      <c r="M280">
        <v>7</v>
      </c>
      <c r="N280">
        <v>65</v>
      </c>
      <c r="O280" t="str">
        <f>IF(Table1[[#This Row],[Stock_Quantity]]&lt;=Table1[[#This Row],[Reorder_Level]],"Reoeder required","Sufficient")</f>
        <v>Reoeder required</v>
      </c>
      <c r="P280" t="str">
        <f>IF(Table1[[#This Row],[Stock_Quantity]]=0,"Out of stock","Available")</f>
        <v>Available</v>
      </c>
    </row>
    <row r="281" spans="1:16" x14ac:dyDescent="0.3">
      <c r="A281" t="s">
        <v>878</v>
      </c>
      <c r="B281" t="s">
        <v>98</v>
      </c>
      <c r="C281" t="s">
        <v>99</v>
      </c>
      <c r="D281" t="s">
        <v>161</v>
      </c>
      <c r="E281">
        <v>19</v>
      </c>
      <c r="F281">
        <v>94</v>
      </c>
      <c r="G281">
        <v>17</v>
      </c>
      <c r="H281" s="1">
        <v>11.5</v>
      </c>
      <c r="I281" s="2">
        <v>45451</v>
      </c>
      <c r="J281" t="s">
        <v>879</v>
      </c>
      <c r="K281">
        <v>96</v>
      </c>
      <c r="L281" t="str">
        <f>IF(Table1[[#This Row],[Sales_Volume]]&gt;Table1[[#This Row],[Stock_Quantity]],"Pending","Fulfilled")</f>
        <v>Pending</v>
      </c>
      <c r="M281">
        <v>1</v>
      </c>
      <c r="N281">
        <v>74</v>
      </c>
      <c r="O281" t="str">
        <f>IF(Table1[[#This Row],[Stock_Quantity]]&lt;=Table1[[#This Row],[Reorder_Level]],"Reoeder required","Sufficient")</f>
        <v>Reoeder required</v>
      </c>
      <c r="P281" t="str">
        <f>IF(Table1[[#This Row],[Stock_Quantity]]=0,"Out of stock","Available")</f>
        <v>Available</v>
      </c>
    </row>
    <row r="282" spans="1:16" x14ac:dyDescent="0.3">
      <c r="A282" t="s">
        <v>880</v>
      </c>
      <c r="B282" t="s">
        <v>542</v>
      </c>
      <c r="C282" t="s">
        <v>40</v>
      </c>
      <c r="D282" t="s">
        <v>881</v>
      </c>
      <c r="E282">
        <v>70</v>
      </c>
      <c r="F282">
        <v>96</v>
      </c>
      <c r="G282">
        <v>21</v>
      </c>
      <c r="H282" s="1">
        <v>2</v>
      </c>
      <c r="I282" s="2">
        <v>45545</v>
      </c>
      <c r="J282" t="s">
        <v>882</v>
      </c>
      <c r="K282">
        <v>100</v>
      </c>
      <c r="L282" t="str">
        <f>IF(Table1[[#This Row],[Sales_Volume]]&gt;Table1[[#This Row],[Stock_Quantity]],"Pending","Fulfilled")</f>
        <v>Pending</v>
      </c>
      <c r="M282">
        <v>6</v>
      </c>
      <c r="N282">
        <v>15</v>
      </c>
      <c r="O282" t="str">
        <f>IF(Table1[[#This Row],[Stock_Quantity]]&lt;=Table1[[#This Row],[Reorder_Level]],"Reoeder required","Sufficient")</f>
        <v>Reoeder required</v>
      </c>
      <c r="P282" t="str">
        <f>IF(Table1[[#This Row],[Stock_Quantity]]=0,"Out of stock","Available")</f>
        <v>Available</v>
      </c>
    </row>
    <row r="283" spans="1:16" x14ac:dyDescent="0.3">
      <c r="A283" t="s">
        <v>883</v>
      </c>
      <c r="B283" t="s">
        <v>743</v>
      </c>
      <c r="C283" t="s">
        <v>65</v>
      </c>
      <c r="D283" t="s">
        <v>884</v>
      </c>
      <c r="E283">
        <v>90</v>
      </c>
      <c r="F283">
        <v>52</v>
      </c>
      <c r="G283">
        <v>50</v>
      </c>
      <c r="H283" s="1">
        <v>4</v>
      </c>
      <c r="I283" s="2">
        <v>45397</v>
      </c>
      <c r="J283" t="s">
        <v>885</v>
      </c>
      <c r="K283">
        <v>63</v>
      </c>
      <c r="L283" t="str">
        <f>IF(Table1[[#This Row],[Sales_Volume]]&gt;Table1[[#This Row],[Stock_Quantity]],"Pending","Fulfilled")</f>
        <v>Fulfilled</v>
      </c>
      <c r="M283">
        <v>2</v>
      </c>
      <c r="N283">
        <v>14</v>
      </c>
      <c r="O283" t="str">
        <f>IF(Table1[[#This Row],[Stock_Quantity]]&lt;=Table1[[#This Row],[Reorder_Level]],"Reoeder required","Sufficient")</f>
        <v>Sufficient</v>
      </c>
      <c r="P283" t="str">
        <f>IF(Table1[[#This Row],[Stock_Quantity]]=0,"Out of stock","Available")</f>
        <v>Available</v>
      </c>
    </row>
    <row r="284" spans="1:16" x14ac:dyDescent="0.3">
      <c r="A284" t="s">
        <v>886</v>
      </c>
      <c r="B284" t="s">
        <v>743</v>
      </c>
      <c r="C284" t="s">
        <v>65</v>
      </c>
      <c r="D284" t="s">
        <v>95</v>
      </c>
      <c r="E284">
        <v>77</v>
      </c>
      <c r="F284">
        <v>79</v>
      </c>
      <c r="G284">
        <v>65</v>
      </c>
      <c r="H284" s="1">
        <v>4</v>
      </c>
      <c r="I284" s="2">
        <v>45368</v>
      </c>
      <c r="J284" t="s">
        <v>887</v>
      </c>
      <c r="K284">
        <v>62</v>
      </c>
      <c r="L284" t="str">
        <f>IF(Table1[[#This Row],[Sales_Volume]]&gt;Table1[[#This Row],[Stock_Quantity]],"Pending","Fulfilled")</f>
        <v>Fulfilled</v>
      </c>
      <c r="M284">
        <v>6</v>
      </c>
      <c r="N284">
        <v>75</v>
      </c>
      <c r="O284" t="str">
        <f>IF(Table1[[#This Row],[Stock_Quantity]]&lt;=Table1[[#This Row],[Reorder_Level]],"Reoeder required","Sufficient")</f>
        <v>Reoeder required</v>
      </c>
      <c r="P284" t="str">
        <f>IF(Table1[[#This Row],[Stock_Quantity]]=0,"Out of stock","Available")</f>
        <v>Available</v>
      </c>
    </row>
    <row r="285" spans="1:16" x14ac:dyDescent="0.3">
      <c r="A285" t="s">
        <v>888</v>
      </c>
      <c r="B285" t="s">
        <v>889</v>
      </c>
      <c r="C285" t="s">
        <v>31</v>
      </c>
      <c r="D285" t="s">
        <v>838</v>
      </c>
      <c r="E285">
        <v>38</v>
      </c>
      <c r="F285">
        <v>22</v>
      </c>
      <c r="G285">
        <v>71</v>
      </c>
      <c r="H285" s="1">
        <v>5</v>
      </c>
      <c r="I285" s="2">
        <v>45428</v>
      </c>
      <c r="J285" t="s">
        <v>890</v>
      </c>
      <c r="K285">
        <v>33</v>
      </c>
      <c r="L285" t="str">
        <f>IF(Table1[[#This Row],[Sales_Volume]]&gt;Table1[[#This Row],[Stock_Quantity]],"Pending","Fulfilled")</f>
        <v>Fulfilled</v>
      </c>
      <c r="M285">
        <v>5</v>
      </c>
      <c r="N285">
        <v>62</v>
      </c>
      <c r="O285" t="str">
        <f>IF(Table1[[#This Row],[Stock_Quantity]]&lt;=Table1[[#This Row],[Reorder_Level]],"Reoeder required","Sufficient")</f>
        <v>Sufficient</v>
      </c>
      <c r="P285" t="str">
        <f>IF(Table1[[#This Row],[Stock_Quantity]]=0,"Out of stock","Available")</f>
        <v>Available</v>
      </c>
    </row>
    <row r="286" spans="1:16" x14ac:dyDescent="0.3">
      <c r="A286" t="s">
        <v>891</v>
      </c>
      <c r="B286" t="s">
        <v>390</v>
      </c>
      <c r="C286" t="s">
        <v>99</v>
      </c>
      <c r="D286" t="s">
        <v>892</v>
      </c>
      <c r="E286">
        <v>93</v>
      </c>
      <c r="F286">
        <v>25</v>
      </c>
      <c r="G286">
        <v>23</v>
      </c>
      <c r="H286" s="1">
        <v>7</v>
      </c>
      <c r="I286" s="2">
        <v>45521</v>
      </c>
      <c r="J286" t="s">
        <v>893</v>
      </c>
      <c r="K286">
        <v>72</v>
      </c>
      <c r="L286" t="str">
        <f>IF(Table1[[#This Row],[Sales_Volume]]&gt;Table1[[#This Row],[Stock_Quantity]],"Pending","Fulfilled")</f>
        <v>Fulfilled</v>
      </c>
      <c r="M286">
        <v>7</v>
      </c>
      <c r="N286">
        <v>83</v>
      </c>
      <c r="O286" t="str">
        <f>IF(Table1[[#This Row],[Stock_Quantity]]&lt;=Table1[[#This Row],[Reorder_Level]],"Reoeder required","Sufficient")</f>
        <v>Sufficient</v>
      </c>
      <c r="P286" t="str">
        <f>IF(Table1[[#This Row],[Stock_Quantity]]=0,"Out of stock","Available")</f>
        <v>Available</v>
      </c>
    </row>
    <row r="287" spans="1:16" x14ac:dyDescent="0.3">
      <c r="A287" t="s">
        <v>894</v>
      </c>
      <c r="B287" t="s">
        <v>895</v>
      </c>
      <c r="C287" t="s">
        <v>45</v>
      </c>
      <c r="D287" t="s">
        <v>896</v>
      </c>
      <c r="E287">
        <v>23</v>
      </c>
      <c r="F287">
        <v>100</v>
      </c>
      <c r="G287">
        <v>77</v>
      </c>
      <c r="H287" s="1">
        <v>2</v>
      </c>
      <c r="I287" s="2">
        <v>45514</v>
      </c>
      <c r="J287" t="s">
        <v>897</v>
      </c>
      <c r="K287">
        <v>63</v>
      </c>
      <c r="L287" t="str">
        <f>IF(Table1[[#This Row],[Sales_Volume]]&gt;Table1[[#This Row],[Stock_Quantity]],"Pending","Fulfilled")</f>
        <v>Pending</v>
      </c>
      <c r="M287">
        <v>5</v>
      </c>
      <c r="N287">
        <v>26</v>
      </c>
      <c r="O287" t="str">
        <f>IF(Table1[[#This Row],[Stock_Quantity]]&lt;=Table1[[#This Row],[Reorder_Level]],"Reoeder required","Sufficient")</f>
        <v>Reoeder required</v>
      </c>
      <c r="P287" t="str">
        <f>IF(Table1[[#This Row],[Stock_Quantity]]=0,"Out of stock","Available")</f>
        <v>Available</v>
      </c>
    </row>
    <row r="288" spans="1:16" x14ac:dyDescent="0.3">
      <c r="A288" t="s">
        <v>898</v>
      </c>
      <c r="B288" t="s">
        <v>514</v>
      </c>
      <c r="C288" t="s">
        <v>18</v>
      </c>
      <c r="D288" t="s">
        <v>899</v>
      </c>
      <c r="E288">
        <v>51</v>
      </c>
      <c r="F288">
        <v>1</v>
      </c>
      <c r="G288">
        <v>61</v>
      </c>
      <c r="H288" s="1">
        <v>7.6</v>
      </c>
      <c r="I288" s="2">
        <v>45461</v>
      </c>
      <c r="J288" t="s">
        <v>900</v>
      </c>
      <c r="K288">
        <v>96</v>
      </c>
      <c r="L288" t="str">
        <f>IF(Table1[[#This Row],[Sales_Volume]]&gt;Table1[[#This Row],[Stock_Quantity]],"Pending","Fulfilled")</f>
        <v>Pending</v>
      </c>
      <c r="M288">
        <v>7</v>
      </c>
      <c r="N288">
        <v>26</v>
      </c>
      <c r="O288" t="str">
        <f>IF(Table1[[#This Row],[Stock_Quantity]]&lt;=Table1[[#This Row],[Reorder_Level]],"Reoeder required","Sufficient")</f>
        <v>Sufficient</v>
      </c>
      <c r="P288" t="str">
        <f>IF(Table1[[#This Row],[Stock_Quantity]]=0,"Out of stock","Available")</f>
        <v>Available</v>
      </c>
    </row>
    <row r="289" spans="1:16" x14ac:dyDescent="0.3">
      <c r="A289" t="s">
        <v>901</v>
      </c>
      <c r="B289" t="s">
        <v>279</v>
      </c>
      <c r="C289" t="s">
        <v>45</v>
      </c>
      <c r="D289" t="s">
        <v>902</v>
      </c>
      <c r="E289">
        <v>57</v>
      </c>
      <c r="F289">
        <v>62</v>
      </c>
      <c r="G289">
        <v>72</v>
      </c>
      <c r="H289" s="1">
        <v>4</v>
      </c>
      <c r="I289" s="2">
        <v>45560</v>
      </c>
      <c r="J289" t="s">
        <v>903</v>
      </c>
      <c r="K289">
        <v>23</v>
      </c>
      <c r="L289" t="str">
        <f>IF(Table1[[#This Row],[Sales_Volume]]&gt;Table1[[#This Row],[Stock_Quantity]],"Pending","Fulfilled")</f>
        <v>Fulfilled</v>
      </c>
      <c r="M289">
        <v>3</v>
      </c>
      <c r="N289">
        <v>4</v>
      </c>
      <c r="O289" t="str">
        <f>IF(Table1[[#This Row],[Stock_Quantity]]&lt;=Table1[[#This Row],[Reorder_Level]],"Reoeder required","Sufficient")</f>
        <v>Reoeder required</v>
      </c>
      <c r="P289" t="str">
        <f>IF(Table1[[#This Row],[Stock_Quantity]]=0,"Out of stock","Available")</f>
        <v>Available</v>
      </c>
    </row>
    <row r="290" spans="1:16" x14ac:dyDescent="0.3">
      <c r="A290" t="s">
        <v>904</v>
      </c>
      <c r="B290" t="s">
        <v>905</v>
      </c>
      <c r="C290" t="s">
        <v>31</v>
      </c>
      <c r="D290" t="s">
        <v>856</v>
      </c>
      <c r="E290">
        <v>59</v>
      </c>
      <c r="F290">
        <v>74</v>
      </c>
      <c r="G290">
        <v>100</v>
      </c>
      <c r="H290" s="1">
        <v>4.5</v>
      </c>
      <c r="I290" s="2">
        <v>45550</v>
      </c>
      <c r="J290" t="s">
        <v>906</v>
      </c>
      <c r="K290">
        <v>63</v>
      </c>
      <c r="L290" t="str">
        <f>IF(Table1[[#This Row],[Sales_Volume]]&gt;Table1[[#This Row],[Stock_Quantity]],"Pending","Fulfilled")</f>
        <v>Pending</v>
      </c>
      <c r="M290">
        <v>2</v>
      </c>
      <c r="N290">
        <v>69</v>
      </c>
      <c r="O290" t="str">
        <f>IF(Table1[[#This Row],[Stock_Quantity]]&lt;=Table1[[#This Row],[Reorder_Level]],"Reoeder required","Sufficient")</f>
        <v>Reoeder required</v>
      </c>
      <c r="P290" t="str">
        <f>IF(Table1[[#This Row],[Stock_Quantity]]=0,"Out of stock","Available")</f>
        <v>Available</v>
      </c>
    </row>
    <row r="291" spans="1:16" x14ac:dyDescent="0.3">
      <c r="A291" t="s">
        <v>907</v>
      </c>
      <c r="B291" t="s">
        <v>338</v>
      </c>
      <c r="C291" t="s">
        <v>31</v>
      </c>
      <c r="D291" t="s">
        <v>184</v>
      </c>
      <c r="E291">
        <v>89</v>
      </c>
      <c r="F291">
        <v>15</v>
      </c>
      <c r="G291">
        <v>22</v>
      </c>
      <c r="H291" s="1">
        <v>10</v>
      </c>
      <c r="I291" s="2">
        <v>45699</v>
      </c>
      <c r="J291" t="s">
        <v>908</v>
      </c>
      <c r="K291">
        <v>79</v>
      </c>
      <c r="L291" t="str">
        <f>IF(Table1[[#This Row],[Sales_Volume]]&gt;Table1[[#This Row],[Stock_Quantity]],"Pending","Fulfilled")</f>
        <v>Fulfilled</v>
      </c>
      <c r="M291">
        <v>4</v>
      </c>
      <c r="N291">
        <v>42</v>
      </c>
      <c r="O291" t="str">
        <f>IF(Table1[[#This Row],[Stock_Quantity]]&lt;=Table1[[#This Row],[Reorder_Level]],"Reoeder required","Sufficient")</f>
        <v>Sufficient</v>
      </c>
      <c r="P291" t="str">
        <f>IF(Table1[[#This Row],[Stock_Quantity]]=0,"Out of stock","Available")</f>
        <v>Available</v>
      </c>
    </row>
    <row r="292" spans="1:16" x14ac:dyDescent="0.3">
      <c r="A292" t="s">
        <v>909</v>
      </c>
      <c r="B292" t="s">
        <v>338</v>
      </c>
      <c r="C292" t="s">
        <v>31</v>
      </c>
      <c r="D292" t="s">
        <v>143</v>
      </c>
      <c r="E292">
        <v>53</v>
      </c>
      <c r="F292">
        <v>98</v>
      </c>
      <c r="G292">
        <v>25</v>
      </c>
      <c r="H292" s="1">
        <v>10</v>
      </c>
      <c r="I292" s="2">
        <v>45539</v>
      </c>
      <c r="J292" t="s">
        <v>910</v>
      </c>
      <c r="K292">
        <v>55</v>
      </c>
      <c r="L292" t="str">
        <f>IF(Table1[[#This Row],[Sales_Volume]]&gt;Table1[[#This Row],[Stock_Quantity]],"Pending","Fulfilled")</f>
        <v>Pending</v>
      </c>
      <c r="M292">
        <v>4</v>
      </c>
      <c r="N292">
        <v>51</v>
      </c>
      <c r="O292" t="str">
        <f>IF(Table1[[#This Row],[Stock_Quantity]]&lt;=Table1[[#This Row],[Reorder_Level]],"Reoeder required","Sufficient")</f>
        <v>Reoeder required</v>
      </c>
      <c r="P292" t="str">
        <f>IF(Table1[[#This Row],[Stock_Quantity]]=0,"Out of stock","Available")</f>
        <v>Available</v>
      </c>
    </row>
    <row r="293" spans="1:16" x14ac:dyDescent="0.3">
      <c r="A293" t="s">
        <v>911</v>
      </c>
      <c r="B293" t="s">
        <v>30</v>
      </c>
      <c r="C293" t="s">
        <v>31</v>
      </c>
      <c r="D293" t="s">
        <v>463</v>
      </c>
      <c r="E293">
        <v>11</v>
      </c>
      <c r="F293">
        <v>56</v>
      </c>
      <c r="G293">
        <v>62</v>
      </c>
      <c r="H293" s="1">
        <v>3.9</v>
      </c>
      <c r="I293" s="2">
        <v>45667</v>
      </c>
      <c r="J293" t="s">
        <v>912</v>
      </c>
      <c r="K293">
        <v>40</v>
      </c>
      <c r="L293" t="str">
        <f>IF(Table1[[#This Row],[Sales_Volume]]&gt;Table1[[#This Row],[Stock_Quantity]],"Pending","Fulfilled")</f>
        <v>Pending</v>
      </c>
      <c r="M293">
        <v>5</v>
      </c>
      <c r="N293">
        <v>5</v>
      </c>
      <c r="O293" t="str">
        <f>IF(Table1[[#This Row],[Stock_Quantity]]&lt;=Table1[[#This Row],[Reorder_Level]],"Reoeder required","Sufficient")</f>
        <v>Reoeder required</v>
      </c>
      <c r="P293" t="str">
        <f>IF(Table1[[#This Row],[Stock_Quantity]]=0,"Out of stock","Available")</f>
        <v>Available</v>
      </c>
    </row>
    <row r="294" spans="1:16" x14ac:dyDescent="0.3">
      <c r="A294" t="s">
        <v>913</v>
      </c>
      <c r="B294" t="s">
        <v>914</v>
      </c>
      <c r="C294" t="s">
        <v>45</v>
      </c>
      <c r="D294" t="s">
        <v>915</v>
      </c>
      <c r="E294">
        <v>59</v>
      </c>
      <c r="F294">
        <v>27</v>
      </c>
      <c r="G294">
        <v>63</v>
      </c>
      <c r="H294" s="1">
        <v>1.75</v>
      </c>
      <c r="I294" s="2">
        <v>45470</v>
      </c>
      <c r="J294" t="s">
        <v>916</v>
      </c>
      <c r="K294">
        <v>92</v>
      </c>
      <c r="L294" t="str">
        <f>IF(Table1[[#This Row],[Sales_Volume]]&gt;Table1[[#This Row],[Stock_Quantity]],"Pending","Fulfilled")</f>
        <v>Pending</v>
      </c>
      <c r="M294">
        <v>6</v>
      </c>
      <c r="N294">
        <v>82</v>
      </c>
      <c r="O294" t="str">
        <f>IF(Table1[[#This Row],[Stock_Quantity]]&lt;=Table1[[#This Row],[Reorder_Level]],"Reoeder required","Sufficient")</f>
        <v>Sufficient</v>
      </c>
      <c r="P294" t="str">
        <f>IF(Table1[[#This Row],[Stock_Quantity]]=0,"Out of stock","Available")</f>
        <v>Available</v>
      </c>
    </row>
    <row r="295" spans="1:16" x14ac:dyDescent="0.3">
      <c r="A295" t="s">
        <v>917</v>
      </c>
      <c r="B295" t="s">
        <v>154</v>
      </c>
      <c r="C295" t="s">
        <v>31</v>
      </c>
      <c r="D295" t="s">
        <v>918</v>
      </c>
      <c r="E295">
        <v>34</v>
      </c>
      <c r="F295">
        <v>29</v>
      </c>
      <c r="G295">
        <v>65</v>
      </c>
      <c r="H295" s="1">
        <v>2</v>
      </c>
      <c r="I295" s="2">
        <v>45569</v>
      </c>
      <c r="J295" t="s">
        <v>919</v>
      </c>
      <c r="K295">
        <v>90</v>
      </c>
      <c r="L295" t="str">
        <f>IF(Table1[[#This Row],[Sales_Volume]]&gt;Table1[[#This Row],[Stock_Quantity]],"Pending","Fulfilled")</f>
        <v>Pending</v>
      </c>
      <c r="M295">
        <v>8</v>
      </c>
      <c r="N295">
        <v>23</v>
      </c>
      <c r="O295" t="str">
        <f>IF(Table1[[#This Row],[Stock_Quantity]]&lt;=Table1[[#This Row],[Reorder_Level]],"Reoeder required","Sufficient")</f>
        <v>Sufficient</v>
      </c>
      <c r="P295" t="str">
        <f>IF(Table1[[#This Row],[Stock_Quantity]]=0,"Out of stock","Available")</f>
        <v>Available</v>
      </c>
    </row>
    <row r="296" spans="1:16" x14ac:dyDescent="0.3">
      <c r="A296" t="s">
        <v>920</v>
      </c>
      <c r="B296" t="s">
        <v>478</v>
      </c>
      <c r="C296" t="s">
        <v>99</v>
      </c>
      <c r="D296" t="s">
        <v>50</v>
      </c>
      <c r="E296">
        <v>25</v>
      </c>
      <c r="F296">
        <v>75</v>
      </c>
      <c r="G296">
        <v>27</v>
      </c>
      <c r="H296" s="1">
        <v>18</v>
      </c>
      <c r="I296" s="2">
        <v>45570</v>
      </c>
      <c r="J296" t="s">
        <v>921</v>
      </c>
      <c r="K296">
        <v>31</v>
      </c>
      <c r="L296" t="str">
        <f>IF(Table1[[#This Row],[Sales_Volume]]&gt;Table1[[#This Row],[Stock_Quantity]],"Pending","Fulfilled")</f>
        <v>Pending</v>
      </c>
      <c r="M296">
        <v>8</v>
      </c>
      <c r="N296">
        <v>36</v>
      </c>
      <c r="O296" t="str">
        <f>IF(Table1[[#This Row],[Stock_Quantity]]&lt;=Table1[[#This Row],[Reorder_Level]],"Reoeder required","Sufficient")</f>
        <v>Reoeder required</v>
      </c>
      <c r="P296" t="str">
        <f>IF(Table1[[#This Row],[Stock_Quantity]]=0,"Out of stock","Available")</f>
        <v>Available</v>
      </c>
    </row>
    <row r="297" spans="1:16" x14ac:dyDescent="0.3">
      <c r="A297" t="s">
        <v>922</v>
      </c>
      <c r="B297" t="s">
        <v>610</v>
      </c>
      <c r="C297" t="s">
        <v>99</v>
      </c>
      <c r="D297" t="s">
        <v>923</v>
      </c>
      <c r="E297">
        <v>81</v>
      </c>
      <c r="F297">
        <v>22</v>
      </c>
      <c r="G297">
        <v>20</v>
      </c>
      <c r="H297" s="1">
        <v>10</v>
      </c>
      <c r="I297" s="2">
        <v>45711</v>
      </c>
      <c r="J297" t="s">
        <v>924</v>
      </c>
      <c r="K297">
        <v>95</v>
      </c>
      <c r="L297" t="str">
        <f>IF(Table1[[#This Row],[Sales_Volume]]&gt;Table1[[#This Row],[Stock_Quantity]],"Pending","Fulfilled")</f>
        <v>Pending</v>
      </c>
      <c r="M297">
        <v>3</v>
      </c>
      <c r="N297">
        <v>77</v>
      </c>
      <c r="O297" t="str">
        <f>IF(Table1[[#This Row],[Stock_Quantity]]&lt;=Table1[[#This Row],[Reorder_Level]],"Reoeder required","Sufficient")</f>
        <v>Sufficient</v>
      </c>
      <c r="P297" t="str">
        <f>IF(Table1[[#This Row],[Stock_Quantity]]=0,"Out of stock","Available")</f>
        <v>Available</v>
      </c>
    </row>
    <row r="298" spans="1:16" x14ac:dyDescent="0.3">
      <c r="A298" t="s">
        <v>925</v>
      </c>
      <c r="B298" t="s">
        <v>926</v>
      </c>
      <c r="C298" t="s">
        <v>31</v>
      </c>
      <c r="D298" t="s">
        <v>833</v>
      </c>
      <c r="E298">
        <v>81</v>
      </c>
      <c r="F298">
        <v>74</v>
      </c>
      <c r="G298">
        <v>45</v>
      </c>
      <c r="H298" s="1">
        <v>3.5</v>
      </c>
      <c r="I298" s="2">
        <v>45684</v>
      </c>
      <c r="J298" t="s">
        <v>927</v>
      </c>
      <c r="K298">
        <v>42</v>
      </c>
      <c r="L298" t="str">
        <f>IF(Table1[[#This Row],[Sales_Volume]]&gt;Table1[[#This Row],[Stock_Quantity]],"Pending","Fulfilled")</f>
        <v>Fulfilled</v>
      </c>
      <c r="M298">
        <v>1</v>
      </c>
      <c r="N298">
        <v>23</v>
      </c>
      <c r="O298" t="str">
        <f>IF(Table1[[#This Row],[Stock_Quantity]]&lt;=Table1[[#This Row],[Reorder_Level]],"Reoeder required","Sufficient")</f>
        <v>Sufficient</v>
      </c>
      <c r="P298" t="str">
        <f>IF(Table1[[#This Row],[Stock_Quantity]]=0,"Out of stock","Available")</f>
        <v>Available</v>
      </c>
    </row>
    <row r="299" spans="1:16" x14ac:dyDescent="0.3">
      <c r="A299" t="s">
        <v>928</v>
      </c>
      <c r="B299" t="s">
        <v>595</v>
      </c>
      <c r="C299" t="s">
        <v>31</v>
      </c>
      <c r="D299" t="s">
        <v>353</v>
      </c>
      <c r="E299">
        <v>71</v>
      </c>
      <c r="F299">
        <v>4</v>
      </c>
      <c r="G299">
        <v>37</v>
      </c>
      <c r="H299" s="1">
        <v>3</v>
      </c>
      <c r="I299" s="2">
        <v>45589</v>
      </c>
      <c r="J299" t="s">
        <v>929</v>
      </c>
      <c r="K299">
        <v>81</v>
      </c>
      <c r="L299" t="str">
        <f>IF(Table1[[#This Row],[Sales_Volume]]&gt;Table1[[#This Row],[Stock_Quantity]],"Pending","Fulfilled")</f>
        <v>Pending</v>
      </c>
      <c r="M299">
        <v>7</v>
      </c>
      <c r="N299">
        <v>25</v>
      </c>
      <c r="O299" t="str">
        <f>IF(Table1[[#This Row],[Stock_Quantity]]&lt;=Table1[[#This Row],[Reorder_Level]],"Reoeder required","Sufficient")</f>
        <v>Sufficient</v>
      </c>
      <c r="P299" t="str">
        <f>IF(Table1[[#This Row],[Stock_Quantity]]=0,"Out of stock","Available")</f>
        <v>Available</v>
      </c>
    </row>
    <row r="300" spans="1:16" x14ac:dyDescent="0.3">
      <c r="A300" t="s">
        <v>930</v>
      </c>
      <c r="B300" t="s">
        <v>455</v>
      </c>
      <c r="C300" t="s">
        <v>31</v>
      </c>
      <c r="D300" t="s">
        <v>931</v>
      </c>
      <c r="E300">
        <v>52</v>
      </c>
      <c r="F300">
        <v>22</v>
      </c>
      <c r="G300">
        <v>37</v>
      </c>
      <c r="H300" s="1">
        <v>2.5</v>
      </c>
      <c r="I300" s="2">
        <v>45483</v>
      </c>
      <c r="J300" t="s">
        <v>932</v>
      </c>
      <c r="K300">
        <v>56</v>
      </c>
      <c r="L300" t="str">
        <f>IF(Table1[[#This Row],[Sales_Volume]]&gt;Table1[[#This Row],[Stock_Quantity]],"Pending","Fulfilled")</f>
        <v>Pending</v>
      </c>
      <c r="M300">
        <v>5</v>
      </c>
      <c r="N300">
        <v>44</v>
      </c>
      <c r="O300" t="str">
        <f>IF(Table1[[#This Row],[Stock_Quantity]]&lt;=Table1[[#This Row],[Reorder_Level]],"Reoeder required","Sufficient")</f>
        <v>Sufficient</v>
      </c>
      <c r="P300" t="str">
        <f>IF(Table1[[#This Row],[Stock_Quantity]]=0,"Out of stock","Available")</f>
        <v>Available</v>
      </c>
    </row>
    <row r="301" spans="1:16" x14ac:dyDescent="0.3">
      <c r="A301" t="s">
        <v>933</v>
      </c>
      <c r="B301" t="s">
        <v>49</v>
      </c>
      <c r="C301" t="s">
        <v>45</v>
      </c>
      <c r="D301" t="s">
        <v>934</v>
      </c>
      <c r="E301">
        <v>26</v>
      </c>
      <c r="F301">
        <v>54</v>
      </c>
      <c r="G301">
        <v>90</v>
      </c>
      <c r="H301" s="1">
        <v>3</v>
      </c>
      <c r="I301" s="2">
        <v>45462</v>
      </c>
      <c r="J301" t="s">
        <v>935</v>
      </c>
      <c r="K301">
        <v>25</v>
      </c>
      <c r="L301" t="str">
        <f>IF(Table1[[#This Row],[Sales_Volume]]&gt;Table1[[#This Row],[Stock_Quantity]],"Pending","Fulfilled")</f>
        <v>Fulfilled</v>
      </c>
      <c r="M301">
        <v>4</v>
      </c>
      <c r="N301">
        <v>81</v>
      </c>
      <c r="O301" t="str">
        <f>IF(Table1[[#This Row],[Stock_Quantity]]&lt;=Table1[[#This Row],[Reorder_Level]],"Reoeder required","Sufficient")</f>
        <v>Reoeder required</v>
      </c>
      <c r="P301" t="str">
        <f>IF(Table1[[#This Row],[Stock_Quantity]]=0,"Out of stock","Available")</f>
        <v>Available</v>
      </c>
    </row>
    <row r="302" spans="1:16" x14ac:dyDescent="0.3">
      <c r="A302" t="s">
        <v>936</v>
      </c>
      <c r="B302" t="s">
        <v>150</v>
      </c>
      <c r="C302" t="s">
        <v>99</v>
      </c>
      <c r="D302" t="s">
        <v>937</v>
      </c>
      <c r="E302">
        <v>84</v>
      </c>
      <c r="F302">
        <v>8</v>
      </c>
      <c r="G302">
        <v>54</v>
      </c>
      <c r="H302" s="1">
        <v>9</v>
      </c>
      <c r="I302" s="2">
        <v>45405</v>
      </c>
      <c r="J302" t="s">
        <v>938</v>
      </c>
      <c r="K302">
        <v>60</v>
      </c>
      <c r="L302" t="str">
        <f>IF(Table1[[#This Row],[Sales_Volume]]&gt;Table1[[#This Row],[Stock_Quantity]],"Pending","Fulfilled")</f>
        <v>Fulfilled</v>
      </c>
      <c r="M302">
        <v>6</v>
      </c>
      <c r="N302">
        <v>38</v>
      </c>
      <c r="O302" t="str">
        <f>IF(Table1[[#This Row],[Stock_Quantity]]&lt;=Table1[[#This Row],[Reorder_Level]],"Reoeder required","Sufficient")</f>
        <v>Sufficient</v>
      </c>
      <c r="P302" t="str">
        <f>IF(Table1[[#This Row],[Stock_Quantity]]=0,"Out of stock","Available")</f>
        <v>Available</v>
      </c>
    </row>
    <row r="303" spans="1:16" x14ac:dyDescent="0.3">
      <c r="A303" t="s">
        <v>939</v>
      </c>
      <c r="B303" t="s">
        <v>338</v>
      </c>
      <c r="C303" t="s">
        <v>31</v>
      </c>
      <c r="D303" t="s">
        <v>466</v>
      </c>
      <c r="E303">
        <v>28</v>
      </c>
      <c r="F303">
        <v>86</v>
      </c>
      <c r="G303">
        <v>44</v>
      </c>
      <c r="H303" s="1">
        <v>10</v>
      </c>
      <c r="I303" s="2">
        <v>45614</v>
      </c>
      <c r="J303" t="s">
        <v>940</v>
      </c>
      <c r="K303">
        <v>48</v>
      </c>
      <c r="L303" t="str">
        <f>IF(Table1[[#This Row],[Sales_Volume]]&gt;Table1[[#This Row],[Stock_Quantity]],"Pending","Fulfilled")</f>
        <v>Pending</v>
      </c>
      <c r="M303">
        <v>7</v>
      </c>
      <c r="N303">
        <v>12</v>
      </c>
      <c r="O303" t="str">
        <f>IF(Table1[[#This Row],[Stock_Quantity]]&lt;=Table1[[#This Row],[Reorder_Level]],"Reoeder required","Sufficient")</f>
        <v>Reoeder required</v>
      </c>
      <c r="P303" t="str">
        <f>IF(Table1[[#This Row],[Stock_Quantity]]=0,"Out of stock","Available")</f>
        <v>Available</v>
      </c>
    </row>
    <row r="304" spans="1:16" x14ac:dyDescent="0.3">
      <c r="A304" t="s">
        <v>941</v>
      </c>
      <c r="B304" t="s">
        <v>72</v>
      </c>
      <c r="C304" t="s">
        <v>31</v>
      </c>
      <c r="D304" t="s">
        <v>942</v>
      </c>
      <c r="E304">
        <v>94</v>
      </c>
      <c r="F304">
        <v>77</v>
      </c>
      <c r="G304">
        <v>89</v>
      </c>
      <c r="H304" s="1">
        <v>6</v>
      </c>
      <c r="I304" s="2">
        <v>45463</v>
      </c>
      <c r="J304" t="s">
        <v>943</v>
      </c>
      <c r="K304">
        <v>40</v>
      </c>
      <c r="L304" t="str">
        <f>IF(Table1[[#This Row],[Sales_Volume]]&gt;Table1[[#This Row],[Stock_Quantity]],"Pending","Fulfilled")</f>
        <v>Fulfilled</v>
      </c>
      <c r="M304">
        <v>4</v>
      </c>
      <c r="N304">
        <v>84</v>
      </c>
      <c r="O304" t="str">
        <f>IF(Table1[[#This Row],[Stock_Quantity]]&lt;=Table1[[#This Row],[Reorder_Level]],"Reoeder required","Sufficient")</f>
        <v>Sufficient</v>
      </c>
      <c r="P304" t="str">
        <f>IF(Table1[[#This Row],[Stock_Quantity]]=0,"Out of stock","Available")</f>
        <v>Available</v>
      </c>
    </row>
    <row r="305" spans="1:16" x14ac:dyDescent="0.3">
      <c r="A305" t="s">
        <v>944</v>
      </c>
      <c r="B305" t="s">
        <v>197</v>
      </c>
      <c r="C305" t="s">
        <v>31</v>
      </c>
      <c r="D305" t="s">
        <v>945</v>
      </c>
      <c r="E305">
        <v>47</v>
      </c>
      <c r="F305">
        <v>75</v>
      </c>
      <c r="G305">
        <v>53</v>
      </c>
      <c r="H305" s="1">
        <v>6</v>
      </c>
      <c r="I305" s="2">
        <v>45568</v>
      </c>
      <c r="J305" t="s">
        <v>946</v>
      </c>
      <c r="K305">
        <v>70</v>
      </c>
      <c r="L305" t="str">
        <f>IF(Table1[[#This Row],[Sales_Volume]]&gt;Table1[[#This Row],[Stock_Quantity]],"Pending","Fulfilled")</f>
        <v>Pending</v>
      </c>
      <c r="M305">
        <v>1</v>
      </c>
      <c r="N305">
        <v>20</v>
      </c>
      <c r="O305" t="str">
        <f>IF(Table1[[#This Row],[Stock_Quantity]]&lt;=Table1[[#This Row],[Reorder_Level]],"Reoeder required","Sufficient")</f>
        <v>Reoeder required</v>
      </c>
      <c r="P305" t="str">
        <f>IF(Table1[[#This Row],[Stock_Quantity]]=0,"Out of stock","Available")</f>
        <v>Available</v>
      </c>
    </row>
    <row r="306" spans="1:16" x14ac:dyDescent="0.3">
      <c r="A306" t="s">
        <v>947</v>
      </c>
      <c r="B306" t="s">
        <v>948</v>
      </c>
      <c r="C306" t="s">
        <v>13</v>
      </c>
      <c r="D306" t="s">
        <v>734</v>
      </c>
      <c r="E306">
        <v>20</v>
      </c>
      <c r="F306">
        <v>51</v>
      </c>
      <c r="G306">
        <v>21</v>
      </c>
      <c r="H306" s="1">
        <v>5</v>
      </c>
      <c r="I306" s="2">
        <v>45501</v>
      </c>
      <c r="J306" t="s">
        <v>949</v>
      </c>
      <c r="K306">
        <v>71</v>
      </c>
      <c r="L306" t="str">
        <f>IF(Table1[[#This Row],[Sales_Volume]]&gt;Table1[[#This Row],[Stock_Quantity]],"Pending","Fulfilled")</f>
        <v>Pending</v>
      </c>
      <c r="M306">
        <v>8</v>
      </c>
      <c r="N306">
        <v>26</v>
      </c>
      <c r="O306" t="str">
        <f>IF(Table1[[#This Row],[Stock_Quantity]]&lt;=Table1[[#This Row],[Reorder_Level]],"Reoeder required","Sufficient")</f>
        <v>Reoeder required</v>
      </c>
      <c r="P306" t="str">
        <f>IF(Table1[[#This Row],[Stock_Quantity]]=0,"Out of stock","Available")</f>
        <v>Available</v>
      </c>
    </row>
    <row r="307" spans="1:16" x14ac:dyDescent="0.3">
      <c r="A307" t="s">
        <v>950</v>
      </c>
      <c r="B307" t="s">
        <v>951</v>
      </c>
      <c r="C307" t="s">
        <v>31</v>
      </c>
      <c r="D307" t="s">
        <v>687</v>
      </c>
      <c r="E307">
        <v>84</v>
      </c>
      <c r="F307">
        <v>20</v>
      </c>
      <c r="G307">
        <v>58</v>
      </c>
      <c r="H307" s="1">
        <v>2.5</v>
      </c>
      <c r="I307" s="2">
        <v>45667</v>
      </c>
      <c r="J307" t="s">
        <v>952</v>
      </c>
      <c r="K307">
        <v>86</v>
      </c>
      <c r="L307" t="str">
        <f>IF(Table1[[#This Row],[Sales_Volume]]&gt;Table1[[#This Row],[Stock_Quantity]],"Pending","Fulfilled")</f>
        <v>Pending</v>
      </c>
      <c r="M307">
        <v>6</v>
      </c>
      <c r="N307">
        <v>64</v>
      </c>
      <c r="O307" t="str">
        <f>IF(Table1[[#This Row],[Stock_Quantity]]&lt;=Table1[[#This Row],[Reorder_Level]],"Reoeder required","Sufficient")</f>
        <v>Sufficient</v>
      </c>
      <c r="P307" t="str">
        <f>IF(Table1[[#This Row],[Stock_Quantity]]=0,"Out of stock","Available")</f>
        <v>Available</v>
      </c>
    </row>
    <row r="308" spans="1:16" x14ac:dyDescent="0.3">
      <c r="A308" t="s">
        <v>953</v>
      </c>
      <c r="B308" t="s">
        <v>346</v>
      </c>
      <c r="C308" t="s">
        <v>45</v>
      </c>
      <c r="D308" t="s">
        <v>91</v>
      </c>
      <c r="E308">
        <v>100</v>
      </c>
      <c r="F308">
        <v>31</v>
      </c>
      <c r="G308">
        <v>43</v>
      </c>
      <c r="H308" s="1">
        <v>9</v>
      </c>
      <c r="I308" s="2">
        <v>45663</v>
      </c>
      <c r="J308" t="s">
        <v>954</v>
      </c>
      <c r="K308">
        <v>88</v>
      </c>
      <c r="L308" t="str">
        <f>IF(Table1[[#This Row],[Sales_Volume]]&gt;Table1[[#This Row],[Stock_Quantity]],"Pending","Fulfilled")</f>
        <v>Fulfilled</v>
      </c>
      <c r="M308">
        <v>7</v>
      </c>
      <c r="N308">
        <v>52</v>
      </c>
      <c r="O308" t="str">
        <f>IF(Table1[[#This Row],[Stock_Quantity]]&lt;=Table1[[#This Row],[Reorder_Level]],"Reoeder required","Sufficient")</f>
        <v>Sufficient</v>
      </c>
      <c r="P308" t="str">
        <f>IF(Table1[[#This Row],[Stock_Quantity]]=0,"Out of stock","Available")</f>
        <v>Available</v>
      </c>
    </row>
    <row r="309" spans="1:16" x14ac:dyDescent="0.3">
      <c r="A309" t="s">
        <v>955</v>
      </c>
      <c r="B309" t="s">
        <v>827</v>
      </c>
      <c r="C309" t="s">
        <v>45</v>
      </c>
      <c r="D309" t="s">
        <v>744</v>
      </c>
      <c r="E309">
        <v>74</v>
      </c>
      <c r="F309">
        <v>90</v>
      </c>
      <c r="G309">
        <v>26</v>
      </c>
      <c r="H309" s="1">
        <v>1</v>
      </c>
      <c r="I309" s="2">
        <v>45695</v>
      </c>
      <c r="J309" t="s">
        <v>956</v>
      </c>
      <c r="K309">
        <v>24</v>
      </c>
      <c r="L309" t="str">
        <f>IF(Table1[[#This Row],[Sales_Volume]]&gt;Table1[[#This Row],[Stock_Quantity]],"Pending","Fulfilled")</f>
        <v>Fulfilled</v>
      </c>
      <c r="M309">
        <v>6</v>
      </c>
      <c r="N309">
        <v>11</v>
      </c>
      <c r="O309" t="str">
        <f>IF(Table1[[#This Row],[Stock_Quantity]]&lt;=Table1[[#This Row],[Reorder_Level]],"Reoeder required","Sufficient")</f>
        <v>Reoeder required</v>
      </c>
      <c r="P309" t="str">
        <f>IF(Table1[[#This Row],[Stock_Quantity]]=0,"Out of stock","Available")</f>
        <v>Available</v>
      </c>
    </row>
    <row r="310" spans="1:16" x14ac:dyDescent="0.3">
      <c r="A310" t="s">
        <v>957</v>
      </c>
      <c r="B310" t="s">
        <v>220</v>
      </c>
      <c r="C310" t="s">
        <v>18</v>
      </c>
      <c r="D310" t="s">
        <v>958</v>
      </c>
      <c r="E310">
        <v>27</v>
      </c>
      <c r="F310">
        <v>12</v>
      </c>
      <c r="G310">
        <v>93</v>
      </c>
      <c r="H310" s="1">
        <v>12</v>
      </c>
      <c r="I310" s="2">
        <v>45485</v>
      </c>
      <c r="J310" t="s">
        <v>959</v>
      </c>
      <c r="K310">
        <v>88</v>
      </c>
      <c r="L310" t="str">
        <f>IF(Table1[[#This Row],[Sales_Volume]]&gt;Table1[[#This Row],[Stock_Quantity]],"Pending","Fulfilled")</f>
        <v>Pending</v>
      </c>
      <c r="M310">
        <v>7</v>
      </c>
      <c r="N310">
        <v>83</v>
      </c>
      <c r="O310" t="str">
        <f>IF(Table1[[#This Row],[Stock_Quantity]]&lt;=Table1[[#This Row],[Reorder_Level]],"Reoeder required","Sufficient")</f>
        <v>Sufficient</v>
      </c>
      <c r="P310" t="str">
        <f>IF(Table1[[#This Row],[Stock_Quantity]]=0,"Out of stock","Available")</f>
        <v>Available</v>
      </c>
    </row>
    <row r="311" spans="1:16" x14ac:dyDescent="0.3">
      <c r="A311" t="s">
        <v>960</v>
      </c>
      <c r="B311" t="s">
        <v>272</v>
      </c>
      <c r="C311" t="s">
        <v>31</v>
      </c>
      <c r="D311" t="s">
        <v>961</v>
      </c>
      <c r="E311">
        <v>91</v>
      </c>
      <c r="F311">
        <v>55</v>
      </c>
      <c r="G311">
        <v>94</v>
      </c>
      <c r="H311" s="1">
        <v>3</v>
      </c>
      <c r="I311" s="2">
        <v>45392</v>
      </c>
      <c r="J311" t="s">
        <v>962</v>
      </c>
      <c r="K311">
        <v>42</v>
      </c>
      <c r="L311" t="str">
        <f>IF(Table1[[#This Row],[Sales_Volume]]&gt;Table1[[#This Row],[Stock_Quantity]],"Pending","Fulfilled")</f>
        <v>Fulfilled</v>
      </c>
      <c r="M311">
        <v>4</v>
      </c>
      <c r="N311">
        <v>93</v>
      </c>
      <c r="O311" t="str">
        <f>IF(Table1[[#This Row],[Stock_Quantity]]&lt;=Table1[[#This Row],[Reorder_Level]],"Reoeder required","Sufficient")</f>
        <v>Sufficient</v>
      </c>
      <c r="P311" t="str">
        <f>IF(Table1[[#This Row],[Stock_Quantity]]=0,"Out of stock","Available")</f>
        <v>Available</v>
      </c>
    </row>
    <row r="312" spans="1:16" x14ac:dyDescent="0.3">
      <c r="A312" t="s">
        <v>963</v>
      </c>
      <c r="B312" t="s">
        <v>846</v>
      </c>
      <c r="C312" t="s">
        <v>31</v>
      </c>
      <c r="D312" t="s">
        <v>964</v>
      </c>
      <c r="E312">
        <v>82</v>
      </c>
      <c r="F312">
        <v>21</v>
      </c>
      <c r="G312">
        <v>85</v>
      </c>
      <c r="H312" s="1">
        <v>5.5</v>
      </c>
      <c r="I312" s="2">
        <v>45370</v>
      </c>
      <c r="J312" t="s">
        <v>965</v>
      </c>
      <c r="K312">
        <v>39</v>
      </c>
      <c r="L312" t="str">
        <f>IF(Table1[[#This Row],[Sales_Volume]]&gt;Table1[[#This Row],[Stock_Quantity]],"Pending","Fulfilled")</f>
        <v>Fulfilled</v>
      </c>
      <c r="M312">
        <v>2</v>
      </c>
      <c r="N312">
        <v>18</v>
      </c>
      <c r="O312" t="str">
        <f>IF(Table1[[#This Row],[Stock_Quantity]]&lt;=Table1[[#This Row],[Reorder_Level]],"Reoeder required","Sufficient")</f>
        <v>Sufficient</v>
      </c>
      <c r="P312" t="str">
        <f>IF(Table1[[#This Row],[Stock_Quantity]]=0,"Out of stock","Available")</f>
        <v>Available</v>
      </c>
    </row>
    <row r="313" spans="1:16" x14ac:dyDescent="0.3">
      <c r="A313" t="s">
        <v>966</v>
      </c>
      <c r="B313" t="s">
        <v>80</v>
      </c>
      <c r="C313" t="s">
        <v>13</v>
      </c>
      <c r="D313" t="s">
        <v>269</v>
      </c>
      <c r="E313">
        <v>84</v>
      </c>
      <c r="F313">
        <v>91</v>
      </c>
      <c r="G313">
        <v>86</v>
      </c>
      <c r="H313" s="1">
        <v>1.5</v>
      </c>
      <c r="I313" s="2">
        <v>45633</v>
      </c>
      <c r="J313" t="s">
        <v>967</v>
      </c>
      <c r="K313">
        <v>83</v>
      </c>
      <c r="L313" t="str">
        <f>IF(Table1[[#This Row],[Sales_Volume]]&gt;Table1[[#This Row],[Stock_Quantity]],"Pending","Fulfilled")</f>
        <v>Fulfilled</v>
      </c>
      <c r="M313">
        <v>8</v>
      </c>
      <c r="N313">
        <v>95</v>
      </c>
      <c r="O313" t="str">
        <f>IF(Table1[[#This Row],[Stock_Quantity]]&lt;=Table1[[#This Row],[Reorder_Level]],"Reoeder required","Sufficient")</f>
        <v>Reoeder required</v>
      </c>
      <c r="P313" t="str">
        <f>IF(Table1[[#This Row],[Stock_Quantity]]=0,"Out of stock","Available")</f>
        <v>Available</v>
      </c>
    </row>
    <row r="314" spans="1:16" x14ac:dyDescent="0.3">
      <c r="A314" t="s">
        <v>968</v>
      </c>
      <c r="B314" t="s">
        <v>876</v>
      </c>
      <c r="C314" t="s">
        <v>99</v>
      </c>
      <c r="D314" t="s">
        <v>969</v>
      </c>
      <c r="E314">
        <v>18</v>
      </c>
      <c r="F314">
        <v>46</v>
      </c>
      <c r="G314">
        <v>26</v>
      </c>
      <c r="H314" s="1">
        <v>20</v>
      </c>
      <c r="I314" s="2">
        <v>45575</v>
      </c>
      <c r="J314" t="s">
        <v>970</v>
      </c>
      <c r="K314">
        <v>57</v>
      </c>
      <c r="L314" t="str">
        <f>IF(Table1[[#This Row],[Sales_Volume]]&gt;Table1[[#This Row],[Stock_Quantity]],"Pending","Fulfilled")</f>
        <v>Pending</v>
      </c>
      <c r="M314">
        <v>8</v>
      </c>
      <c r="N314">
        <v>95</v>
      </c>
      <c r="O314" t="str">
        <f>IF(Table1[[#This Row],[Stock_Quantity]]&lt;=Table1[[#This Row],[Reorder_Level]],"Reoeder required","Sufficient")</f>
        <v>Reoeder required</v>
      </c>
      <c r="P314" t="str">
        <f>IF(Table1[[#This Row],[Stock_Quantity]]=0,"Out of stock","Available")</f>
        <v>Available</v>
      </c>
    </row>
    <row r="315" spans="1:16" x14ac:dyDescent="0.3">
      <c r="A315" t="s">
        <v>971</v>
      </c>
      <c r="B315" t="s">
        <v>204</v>
      </c>
      <c r="C315" t="s">
        <v>65</v>
      </c>
      <c r="D315" t="s">
        <v>934</v>
      </c>
      <c r="E315">
        <v>12</v>
      </c>
      <c r="F315">
        <v>59</v>
      </c>
      <c r="G315">
        <v>62</v>
      </c>
      <c r="H315" s="1">
        <v>4.5</v>
      </c>
      <c r="I315" s="2">
        <v>45673</v>
      </c>
      <c r="J315" t="s">
        <v>972</v>
      </c>
      <c r="K315">
        <v>75</v>
      </c>
      <c r="L315" t="str">
        <f>IF(Table1[[#This Row],[Sales_Volume]]&gt;Table1[[#This Row],[Stock_Quantity]],"Pending","Fulfilled")</f>
        <v>Pending</v>
      </c>
      <c r="M315">
        <v>3</v>
      </c>
      <c r="N315">
        <v>92</v>
      </c>
      <c r="O315" t="str">
        <f>IF(Table1[[#This Row],[Stock_Quantity]]&lt;=Table1[[#This Row],[Reorder_Level]],"Reoeder required","Sufficient")</f>
        <v>Reoeder required</v>
      </c>
      <c r="P315" t="str">
        <f>IF(Table1[[#This Row],[Stock_Quantity]]=0,"Out of stock","Available")</f>
        <v>Available</v>
      </c>
    </row>
    <row r="316" spans="1:16" x14ac:dyDescent="0.3">
      <c r="A316" t="s">
        <v>973</v>
      </c>
      <c r="B316" t="s">
        <v>22</v>
      </c>
      <c r="C316" t="s">
        <v>13</v>
      </c>
      <c r="D316" t="s">
        <v>69</v>
      </c>
      <c r="E316">
        <v>85</v>
      </c>
      <c r="F316">
        <v>4</v>
      </c>
      <c r="G316">
        <v>75</v>
      </c>
      <c r="H316" s="1">
        <v>6.5</v>
      </c>
      <c r="I316" s="2">
        <v>45385</v>
      </c>
      <c r="J316" t="s">
        <v>974</v>
      </c>
      <c r="K316">
        <v>95</v>
      </c>
      <c r="L316" t="str">
        <f>IF(Table1[[#This Row],[Sales_Volume]]&gt;Table1[[#This Row],[Stock_Quantity]],"Pending","Fulfilled")</f>
        <v>Pending</v>
      </c>
      <c r="M316">
        <v>6</v>
      </c>
      <c r="N316">
        <v>70</v>
      </c>
      <c r="O316" t="str">
        <f>IF(Table1[[#This Row],[Stock_Quantity]]&lt;=Table1[[#This Row],[Reorder_Level]],"Reoeder required","Sufficient")</f>
        <v>Sufficient</v>
      </c>
      <c r="P316" t="str">
        <f>IF(Table1[[#This Row],[Stock_Quantity]]=0,"Out of stock","Available")</f>
        <v>Available</v>
      </c>
    </row>
    <row r="317" spans="1:16" x14ac:dyDescent="0.3">
      <c r="A317" t="s">
        <v>975</v>
      </c>
      <c r="B317" t="s">
        <v>305</v>
      </c>
      <c r="C317" t="s">
        <v>65</v>
      </c>
      <c r="D317" t="s">
        <v>976</v>
      </c>
      <c r="E317">
        <v>33</v>
      </c>
      <c r="F317">
        <v>60</v>
      </c>
      <c r="G317">
        <v>67</v>
      </c>
      <c r="H317" s="1">
        <v>6</v>
      </c>
      <c r="I317" s="2">
        <v>45436</v>
      </c>
      <c r="J317" t="s">
        <v>977</v>
      </c>
      <c r="K317">
        <v>20</v>
      </c>
      <c r="L317" t="str">
        <f>IF(Table1[[#This Row],[Sales_Volume]]&gt;Table1[[#This Row],[Stock_Quantity]],"Pending","Fulfilled")</f>
        <v>Fulfilled</v>
      </c>
      <c r="M317">
        <v>5</v>
      </c>
      <c r="N317">
        <v>7</v>
      </c>
      <c r="O317" t="str">
        <f>IF(Table1[[#This Row],[Stock_Quantity]]&lt;=Table1[[#This Row],[Reorder_Level]],"Reoeder required","Sufficient")</f>
        <v>Reoeder required</v>
      </c>
      <c r="P317" t="str">
        <f>IF(Table1[[#This Row],[Stock_Quantity]]=0,"Out of stock","Available")</f>
        <v>Available</v>
      </c>
    </row>
    <row r="318" spans="1:16" x14ac:dyDescent="0.3">
      <c r="A318" t="s">
        <v>978</v>
      </c>
      <c r="B318" t="s">
        <v>390</v>
      </c>
      <c r="C318" t="s">
        <v>99</v>
      </c>
      <c r="D318" t="s">
        <v>488</v>
      </c>
      <c r="E318">
        <v>59</v>
      </c>
      <c r="F318">
        <v>59</v>
      </c>
      <c r="G318">
        <v>10</v>
      </c>
      <c r="H318" s="1">
        <v>7</v>
      </c>
      <c r="I318" s="2">
        <v>45606</v>
      </c>
      <c r="J318" t="s">
        <v>979</v>
      </c>
      <c r="K318">
        <v>57</v>
      </c>
      <c r="L318" t="str">
        <f>IF(Table1[[#This Row],[Sales_Volume]]&gt;Table1[[#This Row],[Stock_Quantity]],"Pending","Fulfilled")</f>
        <v>Fulfilled</v>
      </c>
      <c r="M318">
        <v>4</v>
      </c>
      <c r="N318">
        <v>50</v>
      </c>
      <c r="O318" t="str">
        <f>IF(Table1[[#This Row],[Stock_Quantity]]&lt;=Table1[[#This Row],[Reorder_Level]],"Reoeder required","Sufficient")</f>
        <v>Reoeder required</v>
      </c>
      <c r="P318" t="str">
        <f>IF(Table1[[#This Row],[Stock_Quantity]]=0,"Out of stock","Available")</f>
        <v>Available</v>
      </c>
    </row>
    <row r="319" spans="1:16" x14ac:dyDescent="0.3">
      <c r="A319" t="s">
        <v>980</v>
      </c>
      <c r="B319" t="s">
        <v>846</v>
      </c>
      <c r="C319" t="s">
        <v>31</v>
      </c>
      <c r="D319" t="s">
        <v>981</v>
      </c>
      <c r="E319">
        <v>22</v>
      </c>
      <c r="F319">
        <v>69</v>
      </c>
      <c r="G319">
        <v>87</v>
      </c>
      <c r="H319" s="1">
        <v>5.5</v>
      </c>
      <c r="I319" s="2">
        <v>45458</v>
      </c>
      <c r="J319" t="s">
        <v>982</v>
      </c>
      <c r="K319">
        <v>34</v>
      </c>
      <c r="L319" t="str">
        <f>IF(Table1[[#This Row],[Sales_Volume]]&gt;Table1[[#This Row],[Stock_Quantity]],"Pending","Fulfilled")</f>
        <v>Pending</v>
      </c>
      <c r="M319">
        <v>1</v>
      </c>
      <c r="N319">
        <v>26</v>
      </c>
      <c r="O319" t="str">
        <f>IF(Table1[[#This Row],[Stock_Quantity]]&lt;=Table1[[#This Row],[Reorder_Level]],"Reoeder required","Sufficient")</f>
        <v>Reoeder required</v>
      </c>
      <c r="P319" t="str">
        <f>IF(Table1[[#This Row],[Stock_Quantity]]=0,"Out of stock","Available")</f>
        <v>Available</v>
      </c>
    </row>
    <row r="320" spans="1:16" x14ac:dyDescent="0.3">
      <c r="A320" t="s">
        <v>983</v>
      </c>
      <c r="B320" t="s">
        <v>469</v>
      </c>
      <c r="C320" t="s">
        <v>45</v>
      </c>
      <c r="D320" t="s">
        <v>984</v>
      </c>
      <c r="E320">
        <v>67</v>
      </c>
      <c r="F320">
        <v>79</v>
      </c>
      <c r="G320">
        <v>98</v>
      </c>
      <c r="H320" s="1">
        <v>7</v>
      </c>
      <c r="I320" s="2">
        <v>45515</v>
      </c>
      <c r="J320" t="s">
        <v>985</v>
      </c>
      <c r="K320">
        <v>73</v>
      </c>
      <c r="L320" t="str">
        <f>IF(Table1[[#This Row],[Sales_Volume]]&gt;Table1[[#This Row],[Stock_Quantity]],"Pending","Fulfilled")</f>
        <v>Pending</v>
      </c>
      <c r="M320">
        <v>4</v>
      </c>
      <c r="N320">
        <v>36</v>
      </c>
      <c r="O320" t="str">
        <f>IF(Table1[[#This Row],[Stock_Quantity]]&lt;=Table1[[#This Row],[Reorder_Level]],"Reoeder required","Sufficient")</f>
        <v>Reoeder required</v>
      </c>
      <c r="P320" t="str">
        <f>IF(Table1[[#This Row],[Stock_Quantity]]=0,"Out of stock","Available")</f>
        <v>Available</v>
      </c>
    </row>
    <row r="321" spans="1:16" x14ac:dyDescent="0.3">
      <c r="A321" t="s">
        <v>986</v>
      </c>
      <c r="B321" t="s">
        <v>346</v>
      </c>
      <c r="C321" t="s">
        <v>45</v>
      </c>
      <c r="D321" t="s">
        <v>987</v>
      </c>
      <c r="E321">
        <v>78</v>
      </c>
      <c r="F321">
        <v>24</v>
      </c>
      <c r="G321">
        <v>31</v>
      </c>
      <c r="H321" s="1">
        <v>9</v>
      </c>
      <c r="I321" s="2">
        <v>45446</v>
      </c>
      <c r="J321" t="s">
        <v>988</v>
      </c>
      <c r="K321">
        <v>60</v>
      </c>
      <c r="L321" t="str">
        <f>IF(Table1[[#This Row],[Sales_Volume]]&gt;Table1[[#This Row],[Stock_Quantity]],"Pending","Fulfilled")</f>
        <v>Fulfilled</v>
      </c>
      <c r="M321">
        <v>3</v>
      </c>
      <c r="N321">
        <v>41</v>
      </c>
      <c r="O321" t="str">
        <f>IF(Table1[[#This Row],[Stock_Quantity]]&lt;=Table1[[#This Row],[Reorder_Level]],"Reoeder required","Sufficient")</f>
        <v>Sufficient</v>
      </c>
      <c r="P321" t="str">
        <f>IF(Table1[[#This Row],[Stock_Quantity]]=0,"Out of stock","Available")</f>
        <v>Available</v>
      </c>
    </row>
    <row r="322" spans="1:16" x14ac:dyDescent="0.3">
      <c r="A322" t="s">
        <v>989</v>
      </c>
      <c r="B322" t="s">
        <v>176</v>
      </c>
      <c r="C322" t="s">
        <v>31</v>
      </c>
      <c r="D322" t="s">
        <v>881</v>
      </c>
      <c r="E322">
        <v>72</v>
      </c>
      <c r="F322">
        <v>32</v>
      </c>
      <c r="G322">
        <v>80</v>
      </c>
      <c r="H322" s="1">
        <v>2.4500000000000002</v>
      </c>
      <c r="I322" s="2">
        <v>45613</v>
      </c>
      <c r="J322" t="s">
        <v>990</v>
      </c>
      <c r="K322">
        <v>25</v>
      </c>
      <c r="L322" t="str">
        <f>IF(Table1[[#This Row],[Sales_Volume]]&gt;Table1[[#This Row],[Stock_Quantity]],"Pending","Fulfilled")</f>
        <v>Fulfilled</v>
      </c>
      <c r="M322">
        <v>6</v>
      </c>
      <c r="N322">
        <v>9</v>
      </c>
      <c r="O322" t="str">
        <f>IF(Table1[[#This Row],[Stock_Quantity]]&lt;=Table1[[#This Row],[Reorder_Level]],"Reoeder required","Sufficient")</f>
        <v>Sufficient</v>
      </c>
      <c r="P322" t="str">
        <f>IF(Table1[[#This Row],[Stock_Quantity]]=0,"Out of stock","Available")</f>
        <v>Available</v>
      </c>
    </row>
    <row r="323" spans="1:16" x14ac:dyDescent="0.3">
      <c r="A323" t="s">
        <v>991</v>
      </c>
      <c r="B323" t="s">
        <v>279</v>
      </c>
      <c r="C323" t="s">
        <v>45</v>
      </c>
      <c r="D323" t="s">
        <v>515</v>
      </c>
      <c r="E323">
        <v>63</v>
      </c>
      <c r="F323">
        <v>48</v>
      </c>
      <c r="G323">
        <v>22</v>
      </c>
      <c r="H323" s="1">
        <v>4</v>
      </c>
      <c r="I323" s="2">
        <v>45706</v>
      </c>
      <c r="J323" t="s">
        <v>992</v>
      </c>
      <c r="K323">
        <v>21</v>
      </c>
      <c r="L323" t="str">
        <f>IF(Table1[[#This Row],[Sales_Volume]]&gt;Table1[[#This Row],[Stock_Quantity]],"Pending","Fulfilled")</f>
        <v>Fulfilled</v>
      </c>
      <c r="M323">
        <v>5</v>
      </c>
      <c r="N323">
        <v>90</v>
      </c>
      <c r="O323" t="str">
        <f>IF(Table1[[#This Row],[Stock_Quantity]]&lt;=Table1[[#This Row],[Reorder_Level]],"Reoeder required","Sufficient")</f>
        <v>Sufficient</v>
      </c>
      <c r="P323" t="str">
        <f>IF(Table1[[#This Row],[Stock_Quantity]]=0,"Out of stock","Available")</f>
        <v>Available</v>
      </c>
    </row>
    <row r="324" spans="1:16" x14ac:dyDescent="0.3">
      <c r="A324" t="s">
        <v>993</v>
      </c>
      <c r="B324" t="s">
        <v>217</v>
      </c>
      <c r="C324" t="s">
        <v>65</v>
      </c>
      <c r="D324" t="s">
        <v>41</v>
      </c>
      <c r="E324">
        <v>30</v>
      </c>
      <c r="F324">
        <v>91</v>
      </c>
      <c r="G324">
        <v>34</v>
      </c>
      <c r="H324" s="1">
        <v>2.5</v>
      </c>
      <c r="I324" s="2">
        <v>45614</v>
      </c>
      <c r="J324" t="s">
        <v>994</v>
      </c>
      <c r="K324">
        <v>97</v>
      </c>
      <c r="L324" t="str">
        <f>IF(Table1[[#This Row],[Sales_Volume]]&gt;Table1[[#This Row],[Stock_Quantity]],"Pending","Fulfilled")</f>
        <v>Pending</v>
      </c>
      <c r="M324">
        <v>4</v>
      </c>
      <c r="N324">
        <v>88</v>
      </c>
      <c r="O324" t="str">
        <f>IF(Table1[[#This Row],[Stock_Quantity]]&lt;=Table1[[#This Row],[Reorder_Level]],"Reoeder required","Sufficient")</f>
        <v>Reoeder required</v>
      </c>
      <c r="P324" t="str">
        <f>IF(Table1[[#This Row],[Stock_Quantity]]=0,"Out of stock","Available")</f>
        <v>Available</v>
      </c>
    </row>
    <row r="325" spans="1:16" x14ac:dyDescent="0.3">
      <c r="A325" t="s">
        <v>995</v>
      </c>
      <c r="B325" t="s">
        <v>17</v>
      </c>
      <c r="C325" t="s">
        <v>18</v>
      </c>
      <c r="D325" t="s">
        <v>614</v>
      </c>
      <c r="E325">
        <v>36</v>
      </c>
      <c r="F325">
        <v>64</v>
      </c>
      <c r="G325">
        <v>63</v>
      </c>
      <c r="H325" s="1">
        <v>20</v>
      </c>
      <c r="I325" s="2">
        <v>45706</v>
      </c>
      <c r="J325" t="s">
        <v>996</v>
      </c>
      <c r="K325">
        <v>91</v>
      </c>
      <c r="L325" t="str">
        <f>IF(Table1[[#This Row],[Sales_Volume]]&gt;Table1[[#This Row],[Stock_Quantity]],"Pending","Fulfilled")</f>
        <v>Pending</v>
      </c>
      <c r="M325">
        <v>4</v>
      </c>
      <c r="N325">
        <v>35</v>
      </c>
      <c r="O325" t="str">
        <f>IF(Table1[[#This Row],[Stock_Quantity]]&lt;=Table1[[#This Row],[Reorder_Level]],"Reoeder required","Sufficient")</f>
        <v>Reoeder required</v>
      </c>
      <c r="P325" t="str">
        <f>IF(Table1[[#This Row],[Stock_Quantity]]=0,"Out of stock","Available")</f>
        <v>Available</v>
      </c>
    </row>
    <row r="326" spans="1:16" x14ac:dyDescent="0.3">
      <c r="A326" t="s">
        <v>997</v>
      </c>
      <c r="B326" t="s">
        <v>846</v>
      </c>
      <c r="C326" t="s">
        <v>31</v>
      </c>
      <c r="D326" t="s">
        <v>998</v>
      </c>
      <c r="E326">
        <v>88</v>
      </c>
      <c r="F326">
        <v>27</v>
      </c>
      <c r="G326">
        <v>92</v>
      </c>
      <c r="H326" s="1">
        <v>5.5</v>
      </c>
      <c r="I326" s="2">
        <v>45412</v>
      </c>
      <c r="J326" t="s">
        <v>999</v>
      </c>
      <c r="K326">
        <v>57</v>
      </c>
      <c r="L326" t="str">
        <f>IF(Table1[[#This Row],[Sales_Volume]]&gt;Table1[[#This Row],[Stock_Quantity]],"Pending","Fulfilled")</f>
        <v>Fulfilled</v>
      </c>
      <c r="M326">
        <v>3</v>
      </c>
      <c r="N326">
        <v>37</v>
      </c>
      <c r="O326" t="str">
        <f>IF(Table1[[#This Row],[Stock_Quantity]]&lt;=Table1[[#This Row],[Reorder_Level]],"Reoeder required","Sufficient")</f>
        <v>Sufficient</v>
      </c>
      <c r="P326" t="str">
        <f>IF(Table1[[#This Row],[Stock_Quantity]]=0,"Out of stock","Available")</f>
        <v>Available</v>
      </c>
    </row>
    <row r="327" spans="1:16" x14ac:dyDescent="0.3">
      <c r="A327" t="s">
        <v>1000</v>
      </c>
      <c r="B327" t="s">
        <v>412</v>
      </c>
      <c r="C327" t="s">
        <v>31</v>
      </c>
      <c r="D327" t="s">
        <v>77</v>
      </c>
      <c r="E327">
        <v>95</v>
      </c>
      <c r="F327">
        <v>25</v>
      </c>
      <c r="G327">
        <v>91</v>
      </c>
      <c r="H327" s="1">
        <v>53.82</v>
      </c>
      <c r="I327" s="2">
        <v>45406</v>
      </c>
      <c r="J327" t="s">
        <v>1001</v>
      </c>
      <c r="K327">
        <v>87</v>
      </c>
      <c r="L327" t="str">
        <f>IF(Table1[[#This Row],[Sales_Volume]]&gt;Table1[[#This Row],[Stock_Quantity]],"Pending","Fulfilled")</f>
        <v>Fulfilled</v>
      </c>
      <c r="M327">
        <v>8</v>
      </c>
      <c r="N327">
        <v>5</v>
      </c>
      <c r="O327" t="str">
        <f>IF(Table1[[#This Row],[Stock_Quantity]]&lt;=Table1[[#This Row],[Reorder_Level]],"Reoeder required","Sufficient")</f>
        <v>Sufficient</v>
      </c>
      <c r="P327" t="str">
        <f>IF(Table1[[#This Row],[Stock_Quantity]]=0,"Out of stock","Available")</f>
        <v>Available</v>
      </c>
    </row>
    <row r="328" spans="1:16" x14ac:dyDescent="0.3">
      <c r="A328" t="s">
        <v>1002</v>
      </c>
      <c r="B328" t="s">
        <v>268</v>
      </c>
      <c r="C328" t="s">
        <v>31</v>
      </c>
      <c r="D328" t="s">
        <v>1003</v>
      </c>
      <c r="E328">
        <v>30</v>
      </c>
      <c r="F328">
        <v>59</v>
      </c>
      <c r="G328">
        <v>76</v>
      </c>
      <c r="H328" s="1">
        <v>4</v>
      </c>
      <c r="I328" s="2">
        <v>45671</v>
      </c>
      <c r="J328" t="s">
        <v>1004</v>
      </c>
      <c r="K328">
        <v>61</v>
      </c>
      <c r="L328" t="str">
        <f>IF(Table1[[#This Row],[Sales_Volume]]&gt;Table1[[#This Row],[Stock_Quantity]],"Pending","Fulfilled")</f>
        <v>Pending</v>
      </c>
      <c r="M328">
        <v>8</v>
      </c>
      <c r="N328">
        <v>3</v>
      </c>
      <c r="O328" t="str">
        <f>IF(Table1[[#This Row],[Stock_Quantity]]&lt;=Table1[[#This Row],[Reorder_Level]],"Reoeder required","Sufficient")</f>
        <v>Reoeder required</v>
      </c>
      <c r="P328" t="str">
        <f>IF(Table1[[#This Row],[Stock_Quantity]]=0,"Out of stock","Available")</f>
        <v>Available</v>
      </c>
    </row>
    <row r="329" spans="1:16" x14ac:dyDescent="0.3">
      <c r="A329" t="s">
        <v>1005</v>
      </c>
      <c r="B329" t="s">
        <v>103</v>
      </c>
      <c r="C329" t="s">
        <v>31</v>
      </c>
      <c r="D329" t="s">
        <v>719</v>
      </c>
      <c r="E329">
        <v>31</v>
      </c>
      <c r="F329">
        <v>55</v>
      </c>
      <c r="G329">
        <v>5</v>
      </c>
      <c r="H329" s="1">
        <v>2</v>
      </c>
      <c r="I329" s="2">
        <v>45706</v>
      </c>
      <c r="J329" t="s">
        <v>1006</v>
      </c>
      <c r="K329">
        <v>71</v>
      </c>
      <c r="L329" t="str">
        <f>IF(Table1[[#This Row],[Sales_Volume]]&gt;Table1[[#This Row],[Stock_Quantity]],"Pending","Fulfilled")</f>
        <v>Pending</v>
      </c>
      <c r="M329">
        <v>8</v>
      </c>
      <c r="N329">
        <v>46</v>
      </c>
      <c r="O329" t="str">
        <f>IF(Table1[[#This Row],[Stock_Quantity]]&lt;=Table1[[#This Row],[Reorder_Level]],"Reoeder required","Sufficient")</f>
        <v>Reoeder required</v>
      </c>
      <c r="P329" t="str">
        <f>IF(Table1[[#This Row],[Stock_Quantity]]=0,"Out of stock","Available")</f>
        <v>Available</v>
      </c>
    </row>
    <row r="330" spans="1:16" x14ac:dyDescent="0.3">
      <c r="A330" t="s">
        <v>1007</v>
      </c>
      <c r="B330" t="s">
        <v>408</v>
      </c>
      <c r="C330" t="s">
        <v>99</v>
      </c>
      <c r="D330" t="s">
        <v>814</v>
      </c>
      <c r="E330">
        <v>16</v>
      </c>
      <c r="F330">
        <v>20</v>
      </c>
      <c r="G330">
        <v>45</v>
      </c>
      <c r="H330" s="1">
        <v>8</v>
      </c>
      <c r="I330" s="2">
        <v>45583</v>
      </c>
      <c r="J330" t="s">
        <v>1008</v>
      </c>
      <c r="K330">
        <v>81</v>
      </c>
      <c r="L330" t="str">
        <f>IF(Table1[[#This Row],[Sales_Volume]]&gt;Table1[[#This Row],[Stock_Quantity]],"Pending","Fulfilled")</f>
        <v>Pending</v>
      </c>
      <c r="M330">
        <v>4</v>
      </c>
      <c r="N330">
        <v>62</v>
      </c>
      <c r="O330" t="str">
        <f>IF(Table1[[#This Row],[Stock_Quantity]]&lt;=Table1[[#This Row],[Reorder_Level]],"Reoeder required","Sufficient")</f>
        <v>Reoeder required</v>
      </c>
      <c r="P330" t="str">
        <f>IF(Table1[[#This Row],[Stock_Quantity]]=0,"Out of stock","Available")</f>
        <v>Available</v>
      </c>
    </row>
    <row r="331" spans="1:16" x14ac:dyDescent="0.3">
      <c r="A331" t="s">
        <v>1009</v>
      </c>
      <c r="B331" t="s">
        <v>60</v>
      </c>
      <c r="C331" t="s">
        <v>13</v>
      </c>
      <c r="D331" t="s">
        <v>1010</v>
      </c>
      <c r="E331">
        <v>14</v>
      </c>
      <c r="F331">
        <v>16</v>
      </c>
      <c r="G331">
        <v>93</v>
      </c>
      <c r="H331" s="1">
        <v>2</v>
      </c>
      <c r="I331" s="2">
        <v>45354</v>
      </c>
      <c r="J331" t="s">
        <v>1011</v>
      </c>
      <c r="K331">
        <v>39</v>
      </c>
      <c r="L331" t="str">
        <f>IF(Table1[[#This Row],[Sales_Volume]]&gt;Table1[[#This Row],[Stock_Quantity]],"Pending","Fulfilled")</f>
        <v>Pending</v>
      </c>
      <c r="M331">
        <v>4</v>
      </c>
      <c r="N331">
        <v>30</v>
      </c>
      <c r="O331" t="str">
        <f>IF(Table1[[#This Row],[Stock_Quantity]]&lt;=Table1[[#This Row],[Reorder_Level]],"Reoeder required","Sufficient")</f>
        <v>Reoeder required</v>
      </c>
      <c r="P331" t="str">
        <f>IF(Table1[[#This Row],[Stock_Quantity]]=0,"Out of stock","Available")</f>
        <v>Available</v>
      </c>
    </row>
    <row r="332" spans="1:16" x14ac:dyDescent="0.3">
      <c r="A332" t="s">
        <v>1012</v>
      </c>
      <c r="B332" t="s">
        <v>951</v>
      </c>
      <c r="C332" t="s">
        <v>31</v>
      </c>
      <c r="D332" t="s">
        <v>347</v>
      </c>
      <c r="E332">
        <v>44</v>
      </c>
      <c r="F332">
        <v>67</v>
      </c>
      <c r="G332">
        <v>15</v>
      </c>
      <c r="H332" s="1">
        <v>2.5</v>
      </c>
      <c r="I332" s="2">
        <v>45361</v>
      </c>
      <c r="J332" t="s">
        <v>1013</v>
      </c>
      <c r="K332">
        <v>82</v>
      </c>
      <c r="L332" t="str">
        <f>IF(Table1[[#This Row],[Sales_Volume]]&gt;Table1[[#This Row],[Stock_Quantity]],"Pending","Fulfilled")</f>
        <v>Pending</v>
      </c>
      <c r="M332">
        <v>8</v>
      </c>
      <c r="N332">
        <v>51</v>
      </c>
      <c r="O332" t="str">
        <f>IF(Table1[[#This Row],[Stock_Quantity]]&lt;=Table1[[#This Row],[Reorder_Level]],"Reoeder required","Sufficient")</f>
        <v>Reoeder required</v>
      </c>
      <c r="P332" t="str">
        <f>IF(Table1[[#This Row],[Stock_Quantity]]=0,"Out of stock","Available")</f>
        <v>Available</v>
      </c>
    </row>
    <row r="333" spans="1:16" x14ac:dyDescent="0.3">
      <c r="A333" t="s">
        <v>1014</v>
      </c>
      <c r="B333" t="s">
        <v>26</v>
      </c>
      <c r="C333" t="s">
        <v>13</v>
      </c>
      <c r="D333" t="s">
        <v>758</v>
      </c>
      <c r="E333">
        <v>69</v>
      </c>
      <c r="F333">
        <v>82</v>
      </c>
      <c r="G333">
        <v>58</v>
      </c>
      <c r="H333" s="1">
        <v>1.5</v>
      </c>
      <c r="I333" s="2">
        <v>45411</v>
      </c>
      <c r="J333" t="s">
        <v>1015</v>
      </c>
      <c r="K333">
        <v>34</v>
      </c>
      <c r="L333" t="str">
        <f>IF(Table1[[#This Row],[Sales_Volume]]&gt;Table1[[#This Row],[Stock_Quantity]],"Pending","Fulfilled")</f>
        <v>Fulfilled</v>
      </c>
      <c r="M333">
        <v>6</v>
      </c>
      <c r="N333">
        <v>22</v>
      </c>
      <c r="O333" t="str">
        <f>IF(Table1[[#This Row],[Stock_Quantity]]&lt;=Table1[[#This Row],[Reorder_Level]],"Reoeder required","Sufficient")</f>
        <v>Reoeder required</v>
      </c>
      <c r="P333" t="str">
        <f>IF(Table1[[#This Row],[Stock_Quantity]]=0,"Out of stock","Available")</f>
        <v>Available</v>
      </c>
    </row>
    <row r="334" spans="1:16" x14ac:dyDescent="0.3">
      <c r="A334" t="s">
        <v>1016</v>
      </c>
      <c r="B334" t="s">
        <v>26</v>
      </c>
      <c r="C334" t="s">
        <v>13</v>
      </c>
      <c r="D334" t="s">
        <v>822</v>
      </c>
      <c r="E334">
        <v>71</v>
      </c>
      <c r="F334">
        <v>10</v>
      </c>
      <c r="G334">
        <v>49</v>
      </c>
      <c r="H334" s="1">
        <v>1.5</v>
      </c>
      <c r="I334" s="2">
        <v>45367</v>
      </c>
      <c r="J334" t="s">
        <v>1017</v>
      </c>
      <c r="K334">
        <v>66</v>
      </c>
      <c r="L334" t="str">
        <f>IF(Table1[[#This Row],[Sales_Volume]]&gt;Table1[[#This Row],[Stock_Quantity]],"Pending","Fulfilled")</f>
        <v>Fulfilled</v>
      </c>
      <c r="M334">
        <v>5</v>
      </c>
      <c r="N334">
        <v>43</v>
      </c>
      <c r="O334" t="str">
        <f>IF(Table1[[#This Row],[Stock_Quantity]]&lt;=Table1[[#This Row],[Reorder_Level]],"Reoeder required","Sufficient")</f>
        <v>Sufficient</v>
      </c>
      <c r="P334" t="str">
        <f>IF(Table1[[#This Row],[Stock_Quantity]]=0,"Out of stock","Available")</f>
        <v>Available</v>
      </c>
    </row>
    <row r="335" spans="1:16" x14ac:dyDescent="0.3">
      <c r="A335" t="s">
        <v>1018</v>
      </c>
      <c r="B335" t="s">
        <v>239</v>
      </c>
      <c r="C335" t="s">
        <v>31</v>
      </c>
      <c r="D335" t="s">
        <v>375</v>
      </c>
      <c r="E335">
        <v>92</v>
      </c>
      <c r="F335">
        <v>39</v>
      </c>
      <c r="G335">
        <v>50</v>
      </c>
      <c r="H335" s="1">
        <v>1.6</v>
      </c>
      <c r="I335" s="2">
        <v>45633</v>
      </c>
      <c r="J335" t="s">
        <v>1019</v>
      </c>
      <c r="K335">
        <v>30</v>
      </c>
      <c r="L335" t="str">
        <f>IF(Table1[[#This Row],[Sales_Volume]]&gt;Table1[[#This Row],[Stock_Quantity]],"Pending","Fulfilled")</f>
        <v>Fulfilled</v>
      </c>
      <c r="M335">
        <v>8</v>
      </c>
      <c r="N335">
        <v>41</v>
      </c>
      <c r="O335" t="str">
        <f>IF(Table1[[#This Row],[Stock_Quantity]]&lt;=Table1[[#This Row],[Reorder_Level]],"Reoeder required","Sufficient")</f>
        <v>Sufficient</v>
      </c>
      <c r="P335" t="str">
        <f>IF(Table1[[#This Row],[Stock_Quantity]]=0,"Out of stock","Available")</f>
        <v>Available</v>
      </c>
    </row>
    <row r="336" spans="1:16" x14ac:dyDescent="0.3">
      <c r="A336" t="s">
        <v>1020</v>
      </c>
      <c r="B336" t="s">
        <v>334</v>
      </c>
      <c r="C336" t="s">
        <v>40</v>
      </c>
      <c r="D336" t="s">
        <v>73</v>
      </c>
      <c r="E336">
        <v>49</v>
      </c>
      <c r="F336">
        <v>17</v>
      </c>
      <c r="G336">
        <v>54</v>
      </c>
      <c r="H336" s="1">
        <v>4</v>
      </c>
      <c r="I336" s="2">
        <v>45626</v>
      </c>
      <c r="J336" t="s">
        <v>1021</v>
      </c>
      <c r="K336">
        <v>45</v>
      </c>
      <c r="L336" t="str">
        <f>IF(Table1[[#This Row],[Sales_Volume]]&gt;Table1[[#This Row],[Stock_Quantity]],"Pending","Fulfilled")</f>
        <v>Fulfilled</v>
      </c>
      <c r="M336">
        <v>8</v>
      </c>
      <c r="N336">
        <v>96</v>
      </c>
      <c r="O336" t="str">
        <f>IF(Table1[[#This Row],[Stock_Quantity]]&lt;=Table1[[#This Row],[Reorder_Level]],"Reoeder required","Sufficient")</f>
        <v>Sufficient</v>
      </c>
      <c r="P336" t="str">
        <f>IF(Table1[[#This Row],[Stock_Quantity]]=0,"Out of stock","Available")</f>
        <v>Available</v>
      </c>
    </row>
    <row r="337" spans="1:16" x14ac:dyDescent="0.3">
      <c r="A337" t="s">
        <v>1022</v>
      </c>
      <c r="B337" t="s">
        <v>418</v>
      </c>
      <c r="C337" t="s">
        <v>31</v>
      </c>
      <c r="D337" t="s">
        <v>680</v>
      </c>
      <c r="E337">
        <v>52</v>
      </c>
      <c r="F337">
        <v>8</v>
      </c>
      <c r="G337">
        <v>37</v>
      </c>
      <c r="H337" s="1">
        <v>6</v>
      </c>
      <c r="I337" s="2">
        <v>45519</v>
      </c>
      <c r="J337" t="s">
        <v>1023</v>
      </c>
      <c r="K337">
        <v>38</v>
      </c>
      <c r="L337" t="str">
        <f>IF(Table1[[#This Row],[Sales_Volume]]&gt;Table1[[#This Row],[Stock_Quantity]],"Pending","Fulfilled")</f>
        <v>Fulfilled</v>
      </c>
      <c r="M337">
        <v>3</v>
      </c>
      <c r="N337">
        <v>81</v>
      </c>
      <c r="O337" t="str">
        <f>IF(Table1[[#This Row],[Stock_Quantity]]&lt;=Table1[[#This Row],[Reorder_Level]],"Reoeder required","Sufficient")</f>
        <v>Sufficient</v>
      </c>
      <c r="P337" t="str">
        <f>IF(Table1[[#This Row],[Stock_Quantity]]=0,"Out of stock","Available")</f>
        <v>Available</v>
      </c>
    </row>
    <row r="338" spans="1:16" x14ac:dyDescent="0.3">
      <c r="A338" t="s">
        <v>1024</v>
      </c>
      <c r="B338" t="s">
        <v>556</v>
      </c>
      <c r="C338" t="s">
        <v>45</v>
      </c>
      <c r="D338" t="s">
        <v>1025</v>
      </c>
      <c r="E338">
        <v>56</v>
      </c>
      <c r="F338">
        <v>97</v>
      </c>
      <c r="G338">
        <v>29</v>
      </c>
      <c r="H338" s="1">
        <v>2.5</v>
      </c>
      <c r="I338" s="2">
        <v>45490</v>
      </c>
      <c r="J338" t="s">
        <v>1026</v>
      </c>
      <c r="K338">
        <v>82</v>
      </c>
      <c r="L338" t="str">
        <f>IF(Table1[[#This Row],[Sales_Volume]]&gt;Table1[[#This Row],[Stock_Quantity]],"Pending","Fulfilled")</f>
        <v>Pending</v>
      </c>
      <c r="M338">
        <v>6</v>
      </c>
      <c r="N338">
        <v>100</v>
      </c>
      <c r="O338" t="str">
        <f>IF(Table1[[#This Row],[Stock_Quantity]]&lt;=Table1[[#This Row],[Reorder_Level]],"Reoeder required","Sufficient")</f>
        <v>Reoeder required</v>
      </c>
      <c r="P338" t="str">
        <f>IF(Table1[[#This Row],[Stock_Quantity]]=0,"Out of stock","Available")</f>
        <v>Available</v>
      </c>
    </row>
    <row r="339" spans="1:16" x14ac:dyDescent="0.3">
      <c r="A339" t="s">
        <v>1027</v>
      </c>
      <c r="B339" t="s">
        <v>72</v>
      </c>
      <c r="C339" t="s">
        <v>31</v>
      </c>
      <c r="D339" t="s">
        <v>522</v>
      </c>
      <c r="E339">
        <v>16</v>
      </c>
      <c r="F339">
        <v>23</v>
      </c>
      <c r="G339">
        <v>76</v>
      </c>
      <c r="H339" s="1">
        <v>6.1</v>
      </c>
      <c r="I339" s="2">
        <v>45697</v>
      </c>
      <c r="J339" t="s">
        <v>1028</v>
      </c>
      <c r="K339">
        <v>50</v>
      </c>
      <c r="L339" t="str">
        <f>IF(Table1[[#This Row],[Sales_Volume]]&gt;Table1[[#This Row],[Stock_Quantity]],"Pending","Fulfilled")</f>
        <v>Pending</v>
      </c>
      <c r="M339">
        <v>3</v>
      </c>
      <c r="N339">
        <v>27</v>
      </c>
      <c r="O339" t="str">
        <f>IF(Table1[[#This Row],[Stock_Quantity]]&lt;=Table1[[#This Row],[Reorder_Level]],"Reoeder required","Sufficient")</f>
        <v>Reoeder required</v>
      </c>
      <c r="P339" t="str">
        <f>IF(Table1[[#This Row],[Stock_Quantity]]=0,"Out of stock","Available")</f>
        <v>Available</v>
      </c>
    </row>
    <row r="340" spans="1:16" x14ac:dyDescent="0.3">
      <c r="A340" t="s">
        <v>1029</v>
      </c>
      <c r="B340" t="s">
        <v>164</v>
      </c>
      <c r="C340" t="s">
        <v>31</v>
      </c>
      <c r="D340" t="s">
        <v>543</v>
      </c>
      <c r="E340">
        <v>52</v>
      </c>
      <c r="F340">
        <v>79</v>
      </c>
      <c r="G340">
        <v>87</v>
      </c>
      <c r="H340" s="1">
        <v>2.5</v>
      </c>
      <c r="I340" s="2">
        <v>45386</v>
      </c>
      <c r="J340" t="s">
        <v>1030</v>
      </c>
      <c r="K340">
        <v>36</v>
      </c>
      <c r="L340" t="str">
        <f>IF(Table1[[#This Row],[Sales_Volume]]&gt;Table1[[#This Row],[Stock_Quantity]],"Pending","Fulfilled")</f>
        <v>Fulfilled</v>
      </c>
      <c r="M340">
        <v>5</v>
      </c>
      <c r="N340">
        <v>100</v>
      </c>
      <c r="O340" t="str">
        <f>IF(Table1[[#This Row],[Stock_Quantity]]&lt;=Table1[[#This Row],[Reorder_Level]],"Reoeder required","Sufficient")</f>
        <v>Reoeder required</v>
      </c>
      <c r="P340" t="str">
        <f>IF(Table1[[#This Row],[Stock_Quantity]]=0,"Out of stock","Available")</f>
        <v>Available</v>
      </c>
    </row>
    <row r="341" spans="1:16" x14ac:dyDescent="0.3">
      <c r="A341" t="s">
        <v>1031</v>
      </c>
      <c r="B341" t="s">
        <v>98</v>
      </c>
      <c r="C341" t="s">
        <v>99</v>
      </c>
      <c r="D341" t="s">
        <v>194</v>
      </c>
      <c r="E341">
        <v>91</v>
      </c>
      <c r="F341">
        <v>68</v>
      </c>
      <c r="G341">
        <v>80</v>
      </c>
      <c r="H341" s="1">
        <v>11.5</v>
      </c>
      <c r="I341" s="2">
        <v>45579</v>
      </c>
      <c r="J341" t="s">
        <v>1032</v>
      </c>
      <c r="K341">
        <v>81</v>
      </c>
      <c r="L341" t="str">
        <f>IF(Table1[[#This Row],[Sales_Volume]]&gt;Table1[[#This Row],[Stock_Quantity]],"Pending","Fulfilled")</f>
        <v>Fulfilled</v>
      </c>
      <c r="M341">
        <v>2</v>
      </c>
      <c r="N341">
        <v>85</v>
      </c>
      <c r="O341" t="str">
        <f>IF(Table1[[#This Row],[Stock_Quantity]]&lt;=Table1[[#This Row],[Reorder_Level]],"Reoeder required","Sufficient")</f>
        <v>Sufficient</v>
      </c>
      <c r="P341" t="str">
        <f>IF(Table1[[#This Row],[Stock_Quantity]]=0,"Out of stock","Available")</f>
        <v>Available</v>
      </c>
    </row>
    <row r="342" spans="1:16" x14ac:dyDescent="0.3">
      <c r="A342" t="s">
        <v>1033</v>
      </c>
      <c r="B342" t="s">
        <v>172</v>
      </c>
      <c r="C342" t="s">
        <v>31</v>
      </c>
      <c r="D342" t="s">
        <v>1034</v>
      </c>
      <c r="E342">
        <v>58</v>
      </c>
      <c r="F342">
        <v>58</v>
      </c>
      <c r="G342">
        <v>28</v>
      </c>
      <c r="H342" s="1">
        <v>4.7</v>
      </c>
      <c r="I342" s="2">
        <v>45509</v>
      </c>
      <c r="J342" t="s">
        <v>1035</v>
      </c>
      <c r="K342">
        <v>85</v>
      </c>
      <c r="L342" t="str">
        <f>IF(Table1[[#This Row],[Sales_Volume]]&gt;Table1[[#This Row],[Stock_Quantity]],"Pending","Fulfilled")</f>
        <v>Pending</v>
      </c>
      <c r="M342">
        <v>1</v>
      </c>
      <c r="N342">
        <v>63</v>
      </c>
      <c r="O342" t="str">
        <f>IF(Table1[[#This Row],[Stock_Quantity]]&lt;=Table1[[#This Row],[Reorder_Level]],"Reoeder required","Sufficient")</f>
        <v>Reoeder required</v>
      </c>
      <c r="P342" t="str">
        <f>IF(Table1[[#This Row],[Stock_Quantity]]=0,"Out of stock","Available")</f>
        <v>Available</v>
      </c>
    </row>
    <row r="343" spans="1:16" x14ac:dyDescent="0.3">
      <c r="A343" t="s">
        <v>1036</v>
      </c>
      <c r="B343" t="s">
        <v>876</v>
      </c>
      <c r="C343" t="s">
        <v>99</v>
      </c>
      <c r="D343" t="s">
        <v>1037</v>
      </c>
      <c r="E343">
        <v>47</v>
      </c>
      <c r="F343">
        <v>29</v>
      </c>
      <c r="G343">
        <v>70</v>
      </c>
      <c r="H343" s="1">
        <v>20</v>
      </c>
      <c r="I343" s="2">
        <v>45633</v>
      </c>
      <c r="J343" t="s">
        <v>1038</v>
      </c>
      <c r="K343">
        <v>61</v>
      </c>
      <c r="L343" t="str">
        <f>IF(Table1[[#This Row],[Sales_Volume]]&gt;Table1[[#This Row],[Stock_Quantity]],"Pending","Fulfilled")</f>
        <v>Pending</v>
      </c>
      <c r="M343">
        <v>5</v>
      </c>
      <c r="N343">
        <v>44</v>
      </c>
      <c r="O343" t="str">
        <f>IF(Table1[[#This Row],[Stock_Quantity]]&lt;=Table1[[#This Row],[Reorder_Level]],"Reoeder required","Sufficient")</f>
        <v>Sufficient</v>
      </c>
      <c r="P343" t="str">
        <f>IF(Table1[[#This Row],[Stock_Quantity]]=0,"Out of stock","Available")</f>
        <v>Available</v>
      </c>
    </row>
    <row r="344" spans="1:16" x14ac:dyDescent="0.3">
      <c r="A344" t="s">
        <v>1039</v>
      </c>
      <c r="B344" t="s">
        <v>64</v>
      </c>
      <c r="C344" t="s">
        <v>65</v>
      </c>
      <c r="D344" t="s">
        <v>1040</v>
      </c>
      <c r="E344">
        <v>50</v>
      </c>
      <c r="F344">
        <v>56</v>
      </c>
      <c r="G344">
        <v>63</v>
      </c>
      <c r="H344" s="1">
        <v>3</v>
      </c>
      <c r="I344" s="2">
        <v>45428</v>
      </c>
      <c r="J344" t="s">
        <v>1041</v>
      </c>
      <c r="K344">
        <v>70</v>
      </c>
      <c r="L344" t="str">
        <f>IF(Table1[[#This Row],[Sales_Volume]]&gt;Table1[[#This Row],[Stock_Quantity]],"Pending","Fulfilled")</f>
        <v>Pending</v>
      </c>
      <c r="M344">
        <v>1</v>
      </c>
      <c r="N344">
        <v>100</v>
      </c>
      <c r="O344" t="str">
        <f>IF(Table1[[#This Row],[Stock_Quantity]]&lt;=Table1[[#This Row],[Reorder_Level]],"Reoeder required","Sufficient")</f>
        <v>Reoeder required</v>
      </c>
      <c r="P344" t="str">
        <f>IF(Table1[[#This Row],[Stock_Quantity]]=0,"Out of stock","Available")</f>
        <v>Available</v>
      </c>
    </row>
    <row r="345" spans="1:16" x14ac:dyDescent="0.3">
      <c r="A345" t="s">
        <v>1042</v>
      </c>
      <c r="B345" t="s">
        <v>494</v>
      </c>
      <c r="C345" t="s">
        <v>45</v>
      </c>
      <c r="D345" t="s">
        <v>73</v>
      </c>
      <c r="E345">
        <v>43</v>
      </c>
      <c r="F345">
        <v>73</v>
      </c>
      <c r="G345">
        <v>14</v>
      </c>
      <c r="H345" s="1">
        <v>4</v>
      </c>
      <c r="I345" s="2">
        <v>45542</v>
      </c>
      <c r="J345" t="s">
        <v>1043</v>
      </c>
      <c r="K345">
        <v>59</v>
      </c>
      <c r="L345" t="str">
        <f>IF(Table1[[#This Row],[Sales_Volume]]&gt;Table1[[#This Row],[Stock_Quantity]],"Pending","Fulfilled")</f>
        <v>Pending</v>
      </c>
      <c r="M345">
        <v>5</v>
      </c>
      <c r="N345">
        <v>65</v>
      </c>
      <c r="O345" t="str">
        <f>IF(Table1[[#This Row],[Stock_Quantity]]&lt;=Table1[[#This Row],[Reorder_Level]],"Reoeder required","Sufficient")</f>
        <v>Reoeder required</v>
      </c>
      <c r="P345" t="str">
        <f>IF(Table1[[#This Row],[Stock_Quantity]]=0,"Out of stock","Available")</f>
        <v>Available</v>
      </c>
    </row>
    <row r="346" spans="1:16" x14ac:dyDescent="0.3">
      <c r="A346" t="s">
        <v>1044</v>
      </c>
      <c r="B346" t="s">
        <v>549</v>
      </c>
      <c r="C346" t="s">
        <v>45</v>
      </c>
      <c r="D346" t="s">
        <v>981</v>
      </c>
      <c r="E346">
        <v>68</v>
      </c>
      <c r="F346">
        <v>60</v>
      </c>
      <c r="G346">
        <v>21</v>
      </c>
      <c r="H346" s="1">
        <v>8.9</v>
      </c>
      <c r="I346" s="2">
        <v>45567</v>
      </c>
      <c r="J346" t="s">
        <v>1045</v>
      </c>
      <c r="K346">
        <v>79</v>
      </c>
      <c r="L346" t="str">
        <f>IF(Table1[[#This Row],[Sales_Volume]]&gt;Table1[[#This Row],[Stock_Quantity]],"Pending","Fulfilled")</f>
        <v>Pending</v>
      </c>
      <c r="M346">
        <v>2</v>
      </c>
      <c r="N346">
        <v>46</v>
      </c>
      <c r="O346" t="str">
        <f>IF(Table1[[#This Row],[Stock_Quantity]]&lt;=Table1[[#This Row],[Reorder_Level]],"Reoeder required","Sufficient")</f>
        <v>Sufficient</v>
      </c>
      <c r="P346" t="str">
        <f>IF(Table1[[#This Row],[Stock_Quantity]]=0,"Out of stock","Available")</f>
        <v>Available</v>
      </c>
    </row>
    <row r="347" spans="1:16" x14ac:dyDescent="0.3">
      <c r="A347" t="s">
        <v>1046</v>
      </c>
      <c r="B347" t="s">
        <v>556</v>
      </c>
      <c r="C347" t="s">
        <v>45</v>
      </c>
      <c r="D347" t="s">
        <v>722</v>
      </c>
      <c r="E347">
        <v>19</v>
      </c>
      <c r="F347">
        <v>100</v>
      </c>
      <c r="G347">
        <v>83</v>
      </c>
      <c r="H347" s="1">
        <v>2.5</v>
      </c>
      <c r="I347" s="2">
        <v>45494</v>
      </c>
      <c r="J347" t="s">
        <v>1047</v>
      </c>
      <c r="K347">
        <v>66</v>
      </c>
      <c r="L347" t="str">
        <f>IF(Table1[[#This Row],[Sales_Volume]]&gt;Table1[[#This Row],[Stock_Quantity]],"Pending","Fulfilled")</f>
        <v>Pending</v>
      </c>
      <c r="M347">
        <v>3</v>
      </c>
      <c r="N347">
        <v>28</v>
      </c>
      <c r="O347" t="str">
        <f>IF(Table1[[#This Row],[Stock_Quantity]]&lt;=Table1[[#This Row],[Reorder_Level]],"Reoeder required","Sufficient")</f>
        <v>Reoeder required</v>
      </c>
      <c r="P347" t="str">
        <f>IF(Table1[[#This Row],[Stock_Quantity]]=0,"Out of stock","Available")</f>
        <v>Available</v>
      </c>
    </row>
    <row r="348" spans="1:16" x14ac:dyDescent="0.3">
      <c r="A348" t="s">
        <v>1048</v>
      </c>
      <c r="B348" t="s">
        <v>84</v>
      </c>
      <c r="C348" t="s">
        <v>45</v>
      </c>
      <c r="D348" t="s">
        <v>838</v>
      </c>
      <c r="E348">
        <v>70</v>
      </c>
      <c r="F348">
        <v>84</v>
      </c>
      <c r="G348">
        <v>72</v>
      </c>
      <c r="H348" s="1">
        <v>8</v>
      </c>
      <c r="I348" s="2">
        <v>45634</v>
      </c>
      <c r="J348" t="s">
        <v>1049</v>
      </c>
      <c r="K348">
        <v>71</v>
      </c>
      <c r="L348" t="str">
        <f>IF(Table1[[#This Row],[Sales_Volume]]&gt;Table1[[#This Row],[Stock_Quantity]],"Pending","Fulfilled")</f>
        <v>Pending</v>
      </c>
      <c r="M348">
        <v>6</v>
      </c>
      <c r="N348">
        <v>20</v>
      </c>
      <c r="O348" t="str">
        <f>IF(Table1[[#This Row],[Stock_Quantity]]&lt;=Table1[[#This Row],[Reorder_Level]],"Reoeder required","Sufficient")</f>
        <v>Reoeder required</v>
      </c>
      <c r="P348" t="str">
        <f>IF(Table1[[#This Row],[Stock_Quantity]]=0,"Out of stock","Available")</f>
        <v>Available</v>
      </c>
    </row>
    <row r="349" spans="1:16" x14ac:dyDescent="0.3">
      <c r="A349" t="s">
        <v>1050</v>
      </c>
      <c r="B349" t="s">
        <v>272</v>
      </c>
      <c r="C349" t="s">
        <v>31</v>
      </c>
      <c r="D349" t="s">
        <v>607</v>
      </c>
      <c r="E349">
        <v>97</v>
      </c>
      <c r="F349">
        <v>20</v>
      </c>
      <c r="G349">
        <v>72</v>
      </c>
      <c r="H349" s="1">
        <v>3</v>
      </c>
      <c r="I349" s="2">
        <v>45694</v>
      </c>
      <c r="J349" t="s">
        <v>1051</v>
      </c>
      <c r="K349">
        <v>29</v>
      </c>
      <c r="L349" t="str">
        <f>IF(Table1[[#This Row],[Sales_Volume]]&gt;Table1[[#This Row],[Stock_Quantity]],"Pending","Fulfilled")</f>
        <v>Fulfilled</v>
      </c>
      <c r="M349">
        <v>6</v>
      </c>
      <c r="N349">
        <v>59</v>
      </c>
      <c r="O349" t="str">
        <f>IF(Table1[[#This Row],[Stock_Quantity]]&lt;=Table1[[#This Row],[Reorder_Level]],"Reoeder required","Sufficient")</f>
        <v>Sufficient</v>
      </c>
      <c r="P349" t="str">
        <f>IF(Table1[[#This Row],[Stock_Quantity]]=0,"Out of stock","Available")</f>
        <v>Available</v>
      </c>
    </row>
    <row r="350" spans="1:16" x14ac:dyDescent="0.3">
      <c r="A350" t="s">
        <v>1052</v>
      </c>
      <c r="B350" t="s">
        <v>657</v>
      </c>
      <c r="C350" t="s">
        <v>40</v>
      </c>
      <c r="D350" t="s">
        <v>639</v>
      </c>
      <c r="E350">
        <v>87</v>
      </c>
      <c r="F350">
        <v>24</v>
      </c>
      <c r="G350">
        <v>19</v>
      </c>
      <c r="H350" s="1">
        <v>2.5</v>
      </c>
      <c r="I350" s="2">
        <v>45639</v>
      </c>
      <c r="J350" t="s">
        <v>1053</v>
      </c>
      <c r="K350">
        <v>83</v>
      </c>
      <c r="L350" t="str">
        <f>IF(Table1[[#This Row],[Sales_Volume]]&gt;Table1[[#This Row],[Stock_Quantity]],"Pending","Fulfilled")</f>
        <v>Fulfilled</v>
      </c>
      <c r="M350">
        <v>7</v>
      </c>
      <c r="N350">
        <v>3</v>
      </c>
      <c r="O350" t="str">
        <f>IF(Table1[[#This Row],[Stock_Quantity]]&lt;=Table1[[#This Row],[Reorder_Level]],"Reoeder required","Sufficient")</f>
        <v>Sufficient</v>
      </c>
      <c r="P350" t="str">
        <f>IF(Table1[[#This Row],[Stock_Quantity]]=0,"Out of stock","Available")</f>
        <v>Available</v>
      </c>
    </row>
    <row r="351" spans="1:16" x14ac:dyDescent="0.3">
      <c r="A351" t="s">
        <v>1054</v>
      </c>
      <c r="B351" t="s">
        <v>258</v>
      </c>
      <c r="C351" t="s">
        <v>18</v>
      </c>
      <c r="D351" t="s">
        <v>727</v>
      </c>
      <c r="E351">
        <v>58</v>
      </c>
      <c r="F351">
        <v>81</v>
      </c>
      <c r="G351">
        <v>66</v>
      </c>
      <c r="H351" s="1">
        <v>25</v>
      </c>
      <c r="I351" s="2">
        <v>45701</v>
      </c>
      <c r="J351" t="s">
        <v>1055</v>
      </c>
      <c r="K351">
        <v>85</v>
      </c>
      <c r="L351" t="str">
        <f>IF(Table1[[#This Row],[Sales_Volume]]&gt;Table1[[#This Row],[Stock_Quantity]],"Pending","Fulfilled")</f>
        <v>Pending</v>
      </c>
      <c r="M351">
        <v>6</v>
      </c>
      <c r="N351">
        <v>78</v>
      </c>
      <c r="O351" t="str">
        <f>IF(Table1[[#This Row],[Stock_Quantity]]&lt;=Table1[[#This Row],[Reorder_Level]],"Reoeder required","Sufficient")</f>
        <v>Reoeder required</v>
      </c>
      <c r="P351" t="str">
        <f>IF(Table1[[#This Row],[Stock_Quantity]]=0,"Out of stock","Available")</f>
        <v>Available</v>
      </c>
    </row>
    <row r="352" spans="1:16" x14ac:dyDescent="0.3">
      <c r="A352" t="s">
        <v>1056</v>
      </c>
      <c r="B352" t="s">
        <v>405</v>
      </c>
      <c r="C352" t="s">
        <v>31</v>
      </c>
      <c r="D352" t="s">
        <v>1057</v>
      </c>
      <c r="E352">
        <v>16</v>
      </c>
      <c r="F352">
        <v>53</v>
      </c>
      <c r="G352">
        <v>12</v>
      </c>
      <c r="H352" s="1">
        <v>5</v>
      </c>
      <c r="I352" s="2">
        <v>45677</v>
      </c>
      <c r="J352" t="s">
        <v>1058</v>
      </c>
      <c r="K352">
        <v>21</v>
      </c>
      <c r="L352" t="str">
        <f>IF(Table1[[#This Row],[Sales_Volume]]&gt;Table1[[#This Row],[Stock_Quantity]],"Pending","Fulfilled")</f>
        <v>Pending</v>
      </c>
      <c r="M352">
        <v>1</v>
      </c>
      <c r="N352">
        <v>29</v>
      </c>
      <c r="O352" t="str">
        <f>IF(Table1[[#This Row],[Stock_Quantity]]&lt;=Table1[[#This Row],[Reorder_Level]],"Reoeder required","Sufficient")</f>
        <v>Reoeder required</v>
      </c>
      <c r="P352" t="str">
        <f>IF(Table1[[#This Row],[Stock_Quantity]]=0,"Out of stock","Available")</f>
        <v>Available</v>
      </c>
    </row>
    <row r="353" spans="1:16" x14ac:dyDescent="0.3">
      <c r="A353" t="s">
        <v>1059</v>
      </c>
      <c r="B353" t="s">
        <v>138</v>
      </c>
      <c r="C353" t="s">
        <v>31</v>
      </c>
      <c r="D353" t="s">
        <v>838</v>
      </c>
      <c r="E353">
        <v>65</v>
      </c>
      <c r="F353">
        <v>35</v>
      </c>
      <c r="G353">
        <v>3</v>
      </c>
      <c r="H353" s="1">
        <v>3.5</v>
      </c>
      <c r="I353" s="2">
        <v>45675</v>
      </c>
      <c r="J353" t="s">
        <v>1060</v>
      </c>
      <c r="K353">
        <v>25</v>
      </c>
      <c r="L353" t="str">
        <f>IF(Table1[[#This Row],[Sales_Volume]]&gt;Table1[[#This Row],[Stock_Quantity]],"Pending","Fulfilled")</f>
        <v>Fulfilled</v>
      </c>
      <c r="M353">
        <v>4</v>
      </c>
      <c r="N353">
        <v>13</v>
      </c>
      <c r="O353" t="str">
        <f>IF(Table1[[#This Row],[Stock_Quantity]]&lt;=Table1[[#This Row],[Reorder_Level]],"Reoeder required","Sufficient")</f>
        <v>Sufficient</v>
      </c>
      <c r="P353" t="str">
        <f>IF(Table1[[#This Row],[Stock_Quantity]]=0,"Out of stock","Available")</f>
        <v>Available</v>
      </c>
    </row>
    <row r="354" spans="1:16" x14ac:dyDescent="0.3">
      <c r="A354" t="s">
        <v>1061</v>
      </c>
      <c r="B354" t="s">
        <v>631</v>
      </c>
      <c r="C354" t="s">
        <v>13</v>
      </c>
      <c r="D354" t="s">
        <v>485</v>
      </c>
      <c r="E354">
        <v>15</v>
      </c>
      <c r="F354">
        <v>49</v>
      </c>
      <c r="G354">
        <v>40</v>
      </c>
      <c r="H354" s="1">
        <v>4.5</v>
      </c>
      <c r="I354" s="2">
        <v>45457</v>
      </c>
      <c r="J354" t="s">
        <v>1062</v>
      </c>
      <c r="K354">
        <v>68</v>
      </c>
      <c r="L354" t="str">
        <f>IF(Table1[[#This Row],[Sales_Volume]]&gt;Table1[[#This Row],[Stock_Quantity]],"Pending","Fulfilled")</f>
        <v>Pending</v>
      </c>
      <c r="M354">
        <v>7</v>
      </c>
      <c r="N354">
        <v>74</v>
      </c>
      <c r="O354" t="str">
        <f>IF(Table1[[#This Row],[Stock_Quantity]]&lt;=Table1[[#This Row],[Reorder_Level]],"Reoeder required","Sufficient")</f>
        <v>Reoeder required</v>
      </c>
      <c r="P354" t="str">
        <f>IF(Table1[[#This Row],[Stock_Quantity]]=0,"Out of stock","Available")</f>
        <v>Available</v>
      </c>
    </row>
    <row r="355" spans="1:16" x14ac:dyDescent="0.3">
      <c r="A355" t="s">
        <v>1063</v>
      </c>
      <c r="B355" t="s">
        <v>283</v>
      </c>
      <c r="C355" t="s">
        <v>31</v>
      </c>
      <c r="D355" t="s">
        <v>1064</v>
      </c>
      <c r="E355">
        <v>75</v>
      </c>
      <c r="F355">
        <v>85</v>
      </c>
      <c r="G355">
        <v>27</v>
      </c>
      <c r="H355" s="1">
        <v>4.5</v>
      </c>
      <c r="I355" s="2">
        <v>45452</v>
      </c>
      <c r="J355" t="s">
        <v>1065</v>
      </c>
      <c r="K355">
        <v>26</v>
      </c>
      <c r="L355" t="str">
        <f>IF(Table1[[#This Row],[Sales_Volume]]&gt;Table1[[#This Row],[Stock_Quantity]],"Pending","Fulfilled")</f>
        <v>Fulfilled</v>
      </c>
      <c r="M355">
        <v>8</v>
      </c>
      <c r="N355">
        <v>68</v>
      </c>
      <c r="O355" t="str">
        <f>IF(Table1[[#This Row],[Stock_Quantity]]&lt;=Table1[[#This Row],[Reorder_Level]],"Reoeder required","Sufficient")</f>
        <v>Reoeder required</v>
      </c>
      <c r="P355" t="str">
        <f>IF(Table1[[#This Row],[Stock_Quantity]]=0,"Out of stock","Available")</f>
        <v>Available</v>
      </c>
    </row>
    <row r="356" spans="1:16" x14ac:dyDescent="0.3">
      <c r="A356" t="s">
        <v>1066</v>
      </c>
      <c r="B356" t="s">
        <v>1067</v>
      </c>
      <c r="C356" t="s">
        <v>65</v>
      </c>
      <c r="D356" t="s">
        <v>1068</v>
      </c>
      <c r="E356">
        <v>80</v>
      </c>
      <c r="F356">
        <v>61</v>
      </c>
      <c r="G356">
        <v>23</v>
      </c>
      <c r="H356" s="1">
        <v>5.5</v>
      </c>
      <c r="I356" s="2">
        <v>45504</v>
      </c>
      <c r="J356" t="s">
        <v>1069</v>
      </c>
      <c r="K356">
        <v>63</v>
      </c>
      <c r="L356" t="str">
        <f>IF(Table1[[#This Row],[Sales_Volume]]&gt;Table1[[#This Row],[Stock_Quantity]],"Pending","Fulfilled")</f>
        <v>Fulfilled</v>
      </c>
      <c r="M356">
        <v>4</v>
      </c>
      <c r="N356">
        <v>75</v>
      </c>
      <c r="O356" t="str">
        <f>IF(Table1[[#This Row],[Stock_Quantity]]&lt;=Table1[[#This Row],[Reorder_Level]],"Reoeder required","Sufficient")</f>
        <v>Sufficient</v>
      </c>
      <c r="P356" t="str">
        <f>IF(Table1[[#This Row],[Stock_Quantity]]=0,"Out of stock","Available")</f>
        <v>Available</v>
      </c>
    </row>
    <row r="357" spans="1:16" x14ac:dyDescent="0.3">
      <c r="A357" t="s">
        <v>1070</v>
      </c>
      <c r="B357" t="s">
        <v>211</v>
      </c>
      <c r="C357" t="s">
        <v>31</v>
      </c>
      <c r="D357" t="s">
        <v>1071</v>
      </c>
      <c r="E357">
        <v>84</v>
      </c>
      <c r="F357">
        <v>95</v>
      </c>
      <c r="G357">
        <v>22</v>
      </c>
      <c r="H357" s="1">
        <v>2.85</v>
      </c>
      <c r="I357" s="2">
        <v>45426</v>
      </c>
      <c r="J357" t="s">
        <v>1072</v>
      </c>
      <c r="K357">
        <v>48</v>
      </c>
      <c r="L357" t="str">
        <f>IF(Table1[[#This Row],[Sales_Volume]]&gt;Table1[[#This Row],[Stock_Quantity]],"Pending","Fulfilled")</f>
        <v>Fulfilled</v>
      </c>
      <c r="M357">
        <v>5</v>
      </c>
      <c r="N357">
        <v>82</v>
      </c>
      <c r="O357" t="str">
        <f>IF(Table1[[#This Row],[Stock_Quantity]]&lt;=Table1[[#This Row],[Reorder_Level]],"Reoeder required","Sufficient")</f>
        <v>Reoeder required</v>
      </c>
      <c r="P357" t="str">
        <f>IF(Table1[[#This Row],[Stock_Quantity]]=0,"Out of stock","Available")</f>
        <v>Available</v>
      </c>
    </row>
    <row r="358" spans="1:16" x14ac:dyDescent="0.3">
      <c r="A358" t="s">
        <v>1073</v>
      </c>
      <c r="B358" t="s">
        <v>272</v>
      </c>
      <c r="C358" t="s">
        <v>31</v>
      </c>
      <c r="D358" t="s">
        <v>1074</v>
      </c>
      <c r="E358">
        <v>17</v>
      </c>
      <c r="F358">
        <v>3</v>
      </c>
      <c r="G358">
        <v>33</v>
      </c>
      <c r="H358" s="1">
        <v>3</v>
      </c>
      <c r="I358" s="2">
        <v>45549</v>
      </c>
      <c r="J358" t="s">
        <v>1075</v>
      </c>
      <c r="K358">
        <v>49</v>
      </c>
      <c r="L358" t="str">
        <f>IF(Table1[[#This Row],[Sales_Volume]]&gt;Table1[[#This Row],[Stock_Quantity]],"Pending","Fulfilled")</f>
        <v>Pending</v>
      </c>
      <c r="M358">
        <v>3</v>
      </c>
      <c r="N358">
        <v>17</v>
      </c>
      <c r="O358" t="str">
        <f>IF(Table1[[#This Row],[Stock_Quantity]]&lt;=Table1[[#This Row],[Reorder_Level]],"Reoeder required","Sufficient")</f>
        <v>Sufficient</v>
      </c>
      <c r="P358" t="str">
        <f>IF(Table1[[#This Row],[Stock_Quantity]]=0,"Out of stock","Available")</f>
        <v>Available</v>
      </c>
    </row>
    <row r="359" spans="1:16" x14ac:dyDescent="0.3">
      <c r="A359" t="s">
        <v>1076</v>
      </c>
      <c r="B359" t="s">
        <v>895</v>
      </c>
      <c r="C359" t="s">
        <v>45</v>
      </c>
      <c r="D359" t="s">
        <v>1025</v>
      </c>
      <c r="E359">
        <v>64</v>
      </c>
      <c r="F359">
        <v>31</v>
      </c>
      <c r="G359">
        <v>91</v>
      </c>
      <c r="H359" s="1">
        <v>1.9</v>
      </c>
      <c r="I359" s="2">
        <v>45508</v>
      </c>
      <c r="J359" t="s">
        <v>1077</v>
      </c>
      <c r="K359">
        <v>85</v>
      </c>
      <c r="L359" t="str">
        <f>IF(Table1[[#This Row],[Sales_Volume]]&gt;Table1[[#This Row],[Stock_Quantity]],"Pending","Fulfilled")</f>
        <v>Pending</v>
      </c>
      <c r="M359">
        <v>7</v>
      </c>
      <c r="N359">
        <v>42</v>
      </c>
      <c r="O359" t="str">
        <f>IF(Table1[[#This Row],[Stock_Quantity]]&lt;=Table1[[#This Row],[Reorder_Level]],"Reoeder required","Sufficient")</f>
        <v>Sufficient</v>
      </c>
      <c r="P359" t="str">
        <f>IF(Table1[[#This Row],[Stock_Quantity]]=0,"Out of stock","Available")</f>
        <v>Available</v>
      </c>
    </row>
    <row r="360" spans="1:16" x14ac:dyDescent="0.3">
      <c r="A360" t="s">
        <v>1078</v>
      </c>
      <c r="B360" t="s">
        <v>381</v>
      </c>
      <c r="C360" t="s">
        <v>45</v>
      </c>
      <c r="D360" t="s">
        <v>1079</v>
      </c>
      <c r="E360">
        <v>76</v>
      </c>
      <c r="F360">
        <v>81</v>
      </c>
      <c r="G360">
        <v>85</v>
      </c>
      <c r="H360" s="1">
        <v>4</v>
      </c>
      <c r="I360" s="2">
        <v>45636</v>
      </c>
      <c r="J360" t="s">
        <v>1080</v>
      </c>
      <c r="K360">
        <v>65</v>
      </c>
      <c r="L360" t="str">
        <f>IF(Table1[[#This Row],[Sales_Volume]]&gt;Table1[[#This Row],[Stock_Quantity]],"Pending","Fulfilled")</f>
        <v>Fulfilled</v>
      </c>
      <c r="M360">
        <v>7</v>
      </c>
      <c r="N360">
        <v>68</v>
      </c>
      <c r="O360" t="str">
        <f>IF(Table1[[#This Row],[Stock_Quantity]]&lt;=Table1[[#This Row],[Reorder_Level]],"Reoeder required","Sufficient")</f>
        <v>Reoeder required</v>
      </c>
      <c r="P360" t="str">
        <f>IF(Table1[[#This Row],[Stock_Quantity]]=0,"Out of stock","Available")</f>
        <v>Available</v>
      </c>
    </row>
    <row r="361" spans="1:16" x14ac:dyDescent="0.3">
      <c r="A361" t="s">
        <v>1081</v>
      </c>
      <c r="B361" t="s">
        <v>563</v>
      </c>
      <c r="C361" t="s">
        <v>40</v>
      </c>
      <c r="D361" t="s">
        <v>1082</v>
      </c>
      <c r="E361">
        <v>77</v>
      </c>
      <c r="F361">
        <v>95</v>
      </c>
      <c r="G361">
        <v>82</v>
      </c>
      <c r="H361" s="1">
        <v>6.5</v>
      </c>
      <c r="I361" s="2">
        <v>45584</v>
      </c>
      <c r="J361" t="s">
        <v>1083</v>
      </c>
      <c r="K361">
        <v>29</v>
      </c>
      <c r="L361" t="str">
        <f>IF(Table1[[#This Row],[Sales_Volume]]&gt;Table1[[#This Row],[Stock_Quantity]],"Pending","Fulfilled")</f>
        <v>Fulfilled</v>
      </c>
      <c r="M361">
        <v>6</v>
      </c>
      <c r="N361">
        <v>46</v>
      </c>
      <c r="O361" t="str">
        <f>IF(Table1[[#This Row],[Stock_Quantity]]&lt;=Table1[[#This Row],[Reorder_Level]],"Reoeder required","Sufficient")</f>
        <v>Reoeder required</v>
      </c>
      <c r="P361" t="str">
        <f>IF(Table1[[#This Row],[Stock_Quantity]]=0,"Out of stock","Available")</f>
        <v>Available</v>
      </c>
    </row>
    <row r="362" spans="1:16" x14ac:dyDescent="0.3">
      <c r="A362" t="s">
        <v>1084</v>
      </c>
      <c r="B362" t="s">
        <v>313</v>
      </c>
      <c r="C362" t="s">
        <v>45</v>
      </c>
      <c r="D362" t="s">
        <v>470</v>
      </c>
      <c r="E362">
        <v>18</v>
      </c>
      <c r="F362">
        <v>14</v>
      </c>
      <c r="G362">
        <v>77</v>
      </c>
      <c r="H362" s="1">
        <v>2.5</v>
      </c>
      <c r="I362" s="2">
        <v>45424</v>
      </c>
      <c r="J362" t="s">
        <v>1085</v>
      </c>
      <c r="K362">
        <v>78</v>
      </c>
      <c r="L362" t="str">
        <f>IF(Table1[[#This Row],[Sales_Volume]]&gt;Table1[[#This Row],[Stock_Quantity]],"Pending","Fulfilled")</f>
        <v>Pending</v>
      </c>
      <c r="M362">
        <v>3</v>
      </c>
      <c r="N362">
        <v>4</v>
      </c>
      <c r="O362" t="str">
        <f>IF(Table1[[#This Row],[Stock_Quantity]]&lt;=Table1[[#This Row],[Reorder_Level]],"Reoeder required","Sufficient")</f>
        <v>Sufficient</v>
      </c>
      <c r="P362" t="str">
        <f>IF(Table1[[#This Row],[Stock_Quantity]]=0,"Out of stock","Available")</f>
        <v>Available</v>
      </c>
    </row>
    <row r="363" spans="1:16" x14ac:dyDescent="0.3">
      <c r="A363" t="s">
        <v>1086</v>
      </c>
      <c r="B363" t="s">
        <v>948</v>
      </c>
      <c r="C363" t="s">
        <v>13</v>
      </c>
      <c r="D363" t="s">
        <v>1087</v>
      </c>
      <c r="E363">
        <v>51</v>
      </c>
      <c r="F363">
        <v>55</v>
      </c>
      <c r="G363">
        <v>76</v>
      </c>
      <c r="H363" s="1">
        <v>5</v>
      </c>
      <c r="I363" s="2">
        <v>45561</v>
      </c>
      <c r="J363" t="s">
        <v>1088</v>
      </c>
      <c r="K363">
        <v>21</v>
      </c>
      <c r="L363" t="str">
        <f>IF(Table1[[#This Row],[Sales_Volume]]&gt;Table1[[#This Row],[Stock_Quantity]],"Pending","Fulfilled")</f>
        <v>Fulfilled</v>
      </c>
      <c r="M363">
        <v>7</v>
      </c>
      <c r="N363">
        <v>13</v>
      </c>
      <c r="O363" t="str">
        <f>IF(Table1[[#This Row],[Stock_Quantity]]&lt;=Table1[[#This Row],[Reorder_Level]],"Reoeder required","Sufficient")</f>
        <v>Reoeder required</v>
      </c>
      <c r="P363" t="str">
        <f>IF(Table1[[#This Row],[Stock_Quantity]]=0,"Out of stock","Available")</f>
        <v>Available</v>
      </c>
    </row>
    <row r="364" spans="1:16" x14ac:dyDescent="0.3">
      <c r="A364" t="s">
        <v>1089</v>
      </c>
      <c r="B364" t="s">
        <v>573</v>
      </c>
      <c r="C364" t="s">
        <v>31</v>
      </c>
      <c r="D364" t="s">
        <v>1090</v>
      </c>
      <c r="E364">
        <v>68</v>
      </c>
      <c r="F364">
        <v>12</v>
      </c>
      <c r="G364">
        <v>73</v>
      </c>
      <c r="H364" s="1">
        <v>5</v>
      </c>
      <c r="I364" s="2">
        <v>45668</v>
      </c>
      <c r="J364" t="s">
        <v>1091</v>
      </c>
      <c r="K364">
        <v>84</v>
      </c>
      <c r="L364" t="str">
        <f>IF(Table1[[#This Row],[Sales_Volume]]&gt;Table1[[#This Row],[Stock_Quantity]],"Pending","Fulfilled")</f>
        <v>Pending</v>
      </c>
      <c r="M364">
        <v>1</v>
      </c>
      <c r="N364">
        <v>95</v>
      </c>
      <c r="O364" t="str">
        <f>IF(Table1[[#This Row],[Stock_Quantity]]&lt;=Table1[[#This Row],[Reorder_Level]],"Reoeder required","Sufficient")</f>
        <v>Sufficient</v>
      </c>
      <c r="P364" t="str">
        <f>IF(Table1[[#This Row],[Stock_Quantity]]=0,"Out of stock","Available")</f>
        <v>Available</v>
      </c>
    </row>
    <row r="365" spans="1:16" x14ac:dyDescent="0.3">
      <c r="A365" t="s">
        <v>1092</v>
      </c>
      <c r="B365" t="s">
        <v>1093</v>
      </c>
      <c r="C365" t="s">
        <v>13</v>
      </c>
      <c r="D365" t="s">
        <v>409</v>
      </c>
      <c r="E365">
        <v>46</v>
      </c>
      <c r="F365">
        <v>6</v>
      </c>
      <c r="G365">
        <v>64</v>
      </c>
      <c r="H365" s="1">
        <v>10</v>
      </c>
      <c r="I365" s="2">
        <v>45466</v>
      </c>
      <c r="J365" t="s">
        <v>1094</v>
      </c>
      <c r="K365">
        <v>63</v>
      </c>
      <c r="L365" t="str">
        <f>IF(Table1[[#This Row],[Sales_Volume]]&gt;Table1[[#This Row],[Stock_Quantity]],"Pending","Fulfilled")</f>
        <v>Pending</v>
      </c>
      <c r="M365">
        <v>3</v>
      </c>
      <c r="N365">
        <v>29</v>
      </c>
      <c r="O365" t="str">
        <f>IF(Table1[[#This Row],[Stock_Quantity]]&lt;=Table1[[#This Row],[Reorder_Level]],"Reoeder required","Sufficient")</f>
        <v>Sufficient</v>
      </c>
      <c r="P365" t="str">
        <f>IF(Table1[[#This Row],[Stock_Quantity]]=0,"Out of stock","Available")</f>
        <v>Available</v>
      </c>
    </row>
    <row r="366" spans="1:16" x14ac:dyDescent="0.3">
      <c r="A366" t="s">
        <v>1095</v>
      </c>
      <c r="B366" t="s">
        <v>26</v>
      </c>
      <c r="C366" t="s">
        <v>13</v>
      </c>
      <c r="D366" t="s">
        <v>583</v>
      </c>
      <c r="E366">
        <v>98</v>
      </c>
      <c r="F366">
        <v>40</v>
      </c>
      <c r="G366">
        <v>93</v>
      </c>
      <c r="H366" s="1">
        <v>1.5</v>
      </c>
      <c r="I366" s="2">
        <v>45699</v>
      </c>
      <c r="J366" t="s">
        <v>1096</v>
      </c>
      <c r="K366">
        <v>30</v>
      </c>
      <c r="L366" t="str">
        <f>IF(Table1[[#This Row],[Sales_Volume]]&gt;Table1[[#This Row],[Stock_Quantity]],"Pending","Fulfilled")</f>
        <v>Fulfilled</v>
      </c>
      <c r="M366">
        <v>2</v>
      </c>
      <c r="N366">
        <v>53</v>
      </c>
      <c r="O366" t="str">
        <f>IF(Table1[[#This Row],[Stock_Quantity]]&lt;=Table1[[#This Row],[Reorder_Level]],"Reoeder required","Sufficient")</f>
        <v>Sufficient</v>
      </c>
      <c r="P366" t="str">
        <f>IF(Table1[[#This Row],[Stock_Quantity]]=0,"Out of stock","Available")</f>
        <v>Available</v>
      </c>
    </row>
    <row r="367" spans="1:16" x14ac:dyDescent="0.3">
      <c r="A367" t="s">
        <v>1097</v>
      </c>
      <c r="B367" t="s">
        <v>154</v>
      </c>
      <c r="C367" t="s">
        <v>31</v>
      </c>
      <c r="D367" t="s">
        <v>1098</v>
      </c>
      <c r="E367">
        <v>50</v>
      </c>
      <c r="F367">
        <v>20</v>
      </c>
      <c r="G367">
        <v>74</v>
      </c>
      <c r="H367" s="1">
        <v>2</v>
      </c>
      <c r="I367" s="2">
        <v>45507</v>
      </c>
      <c r="J367" t="s">
        <v>1099</v>
      </c>
      <c r="K367">
        <v>30</v>
      </c>
      <c r="L367" t="str">
        <f>IF(Table1[[#This Row],[Sales_Volume]]&gt;Table1[[#This Row],[Stock_Quantity]],"Pending","Fulfilled")</f>
        <v>Fulfilled</v>
      </c>
      <c r="M367">
        <v>2</v>
      </c>
      <c r="N367">
        <v>57</v>
      </c>
      <c r="O367" t="str">
        <f>IF(Table1[[#This Row],[Stock_Quantity]]&lt;=Table1[[#This Row],[Reorder_Level]],"Reoeder required","Sufficient")</f>
        <v>Sufficient</v>
      </c>
      <c r="P367" t="str">
        <f>IF(Table1[[#This Row],[Stock_Quantity]]=0,"Out of stock","Available")</f>
        <v>Available</v>
      </c>
    </row>
    <row r="368" spans="1:16" x14ac:dyDescent="0.3">
      <c r="A368" t="s">
        <v>1100</v>
      </c>
      <c r="B368" t="s">
        <v>1101</v>
      </c>
      <c r="C368" t="s">
        <v>99</v>
      </c>
      <c r="D368" t="s">
        <v>937</v>
      </c>
      <c r="E368">
        <v>88</v>
      </c>
      <c r="F368">
        <v>83</v>
      </c>
      <c r="G368">
        <v>42</v>
      </c>
      <c r="H368" s="1">
        <v>15</v>
      </c>
      <c r="I368" s="2">
        <v>45544</v>
      </c>
      <c r="J368" t="s">
        <v>1102</v>
      </c>
      <c r="K368">
        <v>61</v>
      </c>
      <c r="L368" t="str">
        <f>IF(Table1[[#This Row],[Sales_Volume]]&gt;Table1[[#This Row],[Stock_Quantity]],"Pending","Fulfilled")</f>
        <v>Fulfilled</v>
      </c>
      <c r="M368">
        <v>3</v>
      </c>
      <c r="N368">
        <v>59</v>
      </c>
      <c r="O368" t="str">
        <f>IF(Table1[[#This Row],[Stock_Quantity]]&lt;=Table1[[#This Row],[Reorder_Level]],"Reoeder required","Sufficient")</f>
        <v>Sufficient</v>
      </c>
      <c r="P368" t="str">
        <f>IF(Table1[[#This Row],[Stock_Quantity]]=0,"Out of stock","Available")</f>
        <v>Available</v>
      </c>
    </row>
    <row r="369" spans="1:16" x14ac:dyDescent="0.3">
      <c r="A369" t="s">
        <v>1103</v>
      </c>
      <c r="B369" t="s">
        <v>299</v>
      </c>
      <c r="C369" t="s">
        <v>31</v>
      </c>
      <c r="D369" t="s">
        <v>1098</v>
      </c>
      <c r="E369">
        <v>26</v>
      </c>
      <c r="F369">
        <v>16</v>
      </c>
      <c r="G369">
        <v>69</v>
      </c>
      <c r="H369" s="1">
        <v>1.2</v>
      </c>
      <c r="I369" s="2">
        <v>45377</v>
      </c>
      <c r="J369" t="s">
        <v>1104</v>
      </c>
      <c r="K369">
        <v>64</v>
      </c>
      <c r="L369" t="str">
        <f>IF(Table1[[#This Row],[Sales_Volume]]&gt;Table1[[#This Row],[Stock_Quantity]],"Pending","Fulfilled")</f>
        <v>Pending</v>
      </c>
      <c r="M369">
        <v>3</v>
      </c>
      <c r="N369">
        <v>79</v>
      </c>
      <c r="O369" t="str">
        <f>IF(Table1[[#This Row],[Stock_Quantity]]&lt;=Table1[[#This Row],[Reorder_Level]],"Reoeder required","Sufficient")</f>
        <v>Sufficient</v>
      </c>
      <c r="P369" t="str">
        <f>IF(Table1[[#This Row],[Stock_Quantity]]=0,"Out of stock","Available")</f>
        <v>Available</v>
      </c>
    </row>
    <row r="370" spans="1:16" x14ac:dyDescent="0.3">
      <c r="A370" t="s">
        <v>1105</v>
      </c>
      <c r="B370" t="s">
        <v>220</v>
      </c>
      <c r="C370" t="s">
        <v>18</v>
      </c>
      <c r="D370" t="s">
        <v>987</v>
      </c>
      <c r="E370">
        <v>43</v>
      </c>
      <c r="F370">
        <v>38</v>
      </c>
      <c r="G370">
        <v>63</v>
      </c>
      <c r="H370" s="1">
        <v>12</v>
      </c>
      <c r="I370" s="2">
        <v>45690</v>
      </c>
      <c r="J370" t="s">
        <v>1106</v>
      </c>
      <c r="K370">
        <v>88</v>
      </c>
      <c r="L370" t="str">
        <f>IF(Table1[[#This Row],[Sales_Volume]]&gt;Table1[[#This Row],[Stock_Quantity]],"Pending","Fulfilled")</f>
        <v>Pending</v>
      </c>
      <c r="M370">
        <v>8</v>
      </c>
      <c r="N370">
        <v>65</v>
      </c>
      <c r="O370" t="str">
        <f>IF(Table1[[#This Row],[Stock_Quantity]]&lt;=Table1[[#This Row],[Reorder_Level]],"Reoeder required","Sufficient")</f>
        <v>Sufficient</v>
      </c>
      <c r="P370" t="str">
        <f>IF(Table1[[#This Row],[Stock_Quantity]]=0,"Out of stock","Available")</f>
        <v>Available</v>
      </c>
    </row>
    <row r="371" spans="1:16" x14ac:dyDescent="0.3">
      <c r="A371" t="s">
        <v>1107</v>
      </c>
      <c r="B371" t="s">
        <v>525</v>
      </c>
      <c r="C371" t="s">
        <v>13</v>
      </c>
      <c r="D371" t="s">
        <v>409</v>
      </c>
      <c r="E371">
        <v>46</v>
      </c>
      <c r="F371">
        <v>20</v>
      </c>
      <c r="G371">
        <v>30</v>
      </c>
      <c r="H371" s="1">
        <v>2.5</v>
      </c>
      <c r="I371" s="2">
        <v>45351</v>
      </c>
      <c r="J371" t="s">
        <v>1108</v>
      </c>
      <c r="K371">
        <v>54</v>
      </c>
      <c r="L371" t="str">
        <f>IF(Table1[[#This Row],[Sales_Volume]]&gt;Table1[[#This Row],[Stock_Quantity]],"Pending","Fulfilled")</f>
        <v>Pending</v>
      </c>
      <c r="M371">
        <v>7</v>
      </c>
      <c r="N371">
        <v>24</v>
      </c>
      <c r="O371" t="str">
        <f>IF(Table1[[#This Row],[Stock_Quantity]]&lt;=Table1[[#This Row],[Reorder_Level]],"Reoeder required","Sufficient")</f>
        <v>Sufficient</v>
      </c>
      <c r="P371" t="str">
        <f>IF(Table1[[#This Row],[Stock_Quantity]]=0,"Out of stock","Available")</f>
        <v>Available</v>
      </c>
    </row>
    <row r="372" spans="1:16" x14ac:dyDescent="0.3">
      <c r="A372" t="s">
        <v>1109</v>
      </c>
      <c r="B372" t="s">
        <v>455</v>
      </c>
      <c r="C372" t="s">
        <v>31</v>
      </c>
      <c r="D372" t="s">
        <v>583</v>
      </c>
      <c r="E372">
        <v>19</v>
      </c>
      <c r="F372">
        <v>73</v>
      </c>
      <c r="G372">
        <v>60</v>
      </c>
      <c r="H372" s="1">
        <v>2.4500000000000002</v>
      </c>
      <c r="I372" s="2">
        <v>45515</v>
      </c>
      <c r="J372" t="s">
        <v>1110</v>
      </c>
      <c r="K372">
        <v>70</v>
      </c>
      <c r="L372" t="str">
        <f>IF(Table1[[#This Row],[Sales_Volume]]&gt;Table1[[#This Row],[Stock_Quantity]],"Pending","Fulfilled")</f>
        <v>Pending</v>
      </c>
      <c r="M372">
        <v>7</v>
      </c>
      <c r="N372">
        <v>48</v>
      </c>
      <c r="O372" t="str">
        <f>IF(Table1[[#This Row],[Stock_Quantity]]&lt;=Table1[[#This Row],[Reorder_Level]],"Reoeder required","Sufficient")</f>
        <v>Reoeder required</v>
      </c>
      <c r="P372" t="str">
        <f>IF(Table1[[#This Row],[Stock_Quantity]]=0,"Out of stock","Available")</f>
        <v>Available</v>
      </c>
    </row>
    <row r="373" spans="1:16" x14ac:dyDescent="0.3">
      <c r="A373" t="s">
        <v>1111</v>
      </c>
      <c r="B373" t="s">
        <v>757</v>
      </c>
      <c r="C373" t="s">
        <v>31</v>
      </c>
      <c r="D373" t="s">
        <v>27</v>
      </c>
      <c r="E373">
        <v>61</v>
      </c>
      <c r="F373">
        <v>100</v>
      </c>
      <c r="G373">
        <v>94</v>
      </c>
      <c r="H373" s="1">
        <v>4</v>
      </c>
      <c r="I373" s="2">
        <v>45671</v>
      </c>
      <c r="J373" t="s">
        <v>1112</v>
      </c>
      <c r="K373">
        <v>76</v>
      </c>
      <c r="L373" t="str">
        <f>IF(Table1[[#This Row],[Sales_Volume]]&gt;Table1[[#This Row],[Stock_Quantity]],"Pending","Fulfilled")</f>
        <v>Pending</v>
      </c>
      <c r="M373">
        <v>3</v>
      </c>
      <c r="N373">
        <v>2</v>
      </c>
      <c r="O373" t="str">
        <f>IF(Table1[[#This Row],[Stock_Quantity]]&lt;=Table1[[#This Row],[Reorder_Level]],"Reoeder required","Sufficient")</f>
        <v>Reoeder required</v>
      </c>
      <c r="P373" t="str">
        <f>IF(Table1[[#This Row],[Stock_Quantity]]=0,"Out of stock","Available")</f>
        <v>Available</v>
      </c>
    </row>
    <row r="374" spans="1:16" x14ac:dyDescent="0.3">
      <c r="A374" t="s">
        <v>1113</v>
      </c>
      <c r="B374" t="s">
        <v>356</v>
      </c>
      <c r="C374" t="s">
        <v>31</v>
      </c>
      <c r="D374" t="s">
        <v>1114</v>
      </c>
      <c r="E374">
        <v>43</v>
      </c>
      <c r="F374">
        <v>40</v>
      </c>
      <c r="G374">
        <v>30</v>
      </c>
      <c r="H374" s="1">
        <v>7</v>
      </c>
      <c r="I374" s="2">
        <v>45567</v>
      </c>
      <c r="J374" t="s">
        <v>1115</v>
      </c>
      <c r="K374">
        <v>95</v>
      </c>
      <c r="L374" t="str">
        <f>IF(Table1[[#This Row],[Sales_Volume]]&gt;Table1[[#This Row],[Stock_Quantity]],"Pending","Fulfilled")</f>
        <v>Pending</v>
      </c>
      <c r="M374">
        <v>6</v>
      </c>
      <c r="N374">
        <v>26</v>
      </c>
      <c r="O374" t="str">
        <f>IF(Table1[[#This Row],[Stock_Quantity]]&lt;=Table1[[#This Row],[Reorder_Level]],"Reoeder required","Sufficient")</f>
        <v>Sufficient</v>
      </c>
      <c r="P374" t="str">
        <f>IF(Table1[[#This Row],[Stock_Quantity]]=0,"Out of stock","Available")</f>
        <v>Available</v>
      </c>
    </row>
    <row r="375" spans="1:16" x14ac:dyDescent="0.3">
      <c r="A375" t="s">
        <v>1116</v>
      </c>
      <c r="B375" t="s">
        <v>514</v>
      </c>
      <c r="C375" t="s">
        <v>18</v>
      </c>
      <c r="D375" t="s">
        <v>198</v>
      </c>
      <c r="E375">
        <v>80</v>
      </c>
      <c r="F375">
        <v>54</v>
      </c>
      <c r="G375">
        <v>21</v>
      </c>
      <c r="H375" s="1">
        <v>8.5</v>
      </c>
      <c r="I375" s="2">
        <v>45565</v>
      </c>
      <c r="J375" t="s">
        <v>1117</v>
      </c>
      <c r="K375">
        <v>81</v>
      </c>
      <c r="L375" t="str">
        <f>IF(Table1[[#This Row],[Sales_Volume]]&gt;Table1[[#This Row],[Stock_Quantity]],"Pending","Fulfilled")</f>
        <v>Pending</v>
      </c>
      <c r="M375">
        <v>2</v>
      </c>
      <c r="N375">
        <v>37</v>
      </c>
      <c r="O375" t="str">
        <f>IF(Table1[[#This Row],[Stock_Quantity]]&lt;=Table1[[#This Row],[Reorder_Level]],"Reoeder required","Sufficient")</f>
        <v>Sufficient</v>
      </c>
      <c r="P375" t="str">
        <f>IF(Table1[[#This Row],[Stock_Quantity]]=0,"Out of stock","Available")</f>
        <v>Available</v>
      </c>
    </row>
    <row r="376" spans="1:16" x14ac:dyDescent="0.3">
      <c r="A376" t="s">
        <v>1118</v>
      </c>
      <c r="B376" t="s">
        <v>514</v>
      </c>
      <c r="C376" t="s">
        <v>18</v>
      </c>
      <c r="D376" t="s">
        <v>699</v>
      </c>
      <c r="E376">
        <v>34</v>
      </c>
      <c r="F376">
        <v>47</v>
      </c>
      <c r="G376">
        <v>99</v>
      </c>
      <c r="H376" s="1">
        <v>8</v>
      </c>
      <c r="I376" s="2">
        <v>45476</v>
      </c>
      <c r="J376" t="s">
        <v>1119</v>
      </c>
      <c r="K376">
        <v>97</v>
      </c>
      <c r="L376" t="str">
        <f>IF(Table1[[#This Row],[Sales_Volume]]&gt;Table1[[#This Row],[Stock_Quantity]],"Pending","Fulfilled")</f>
        <v>Pending</v>
      </c>
      <c r="M376">
        <v>8</v>
      </c>
      <c r="N376">
        <v>47</v>
      </c>
      <c r="O376" t="str">
        <f>IF(Table1[[#This Row],[Stock_Quantity]]&lt;=Table1[[#This Row],[Reorder_Level]],"Reoeder required","Sufficient")</f>
        <v>Reoeder required</v>
      </c>
      <c r="P376" t="str">
        <f>IF(Table1[[#This Row],[Stock_Quantity]]=0,"Out of stock","Available")</f>
        <v>Available</v>
      </c>
    </row>
    <row r="377" spans="1:16" x14ac:dyDescent="0.3">
      <c r="A377" t="s">
        <v>1120</v>
      </c>
      <c r="B377" t="s">
        <v>514</v>
      </c>
      <c r="C377" t="s">
        <v>18</v>
      </c>
      <c r="D377" t="s">
        <v>828</v>
      </c>
      <c r="E377">
        <v>88</v>
      </c>
      <c r="F377">
        <v>50</v>
      </c>
      <c r="G377">
        <v>88</v>
      </c>
      <c r="H377" s="1">
        <v>8</v>
      </c>
      <c r="I377" s="2">
        <v>45609</v>
      </c>
      <c r="J377" t="s">
        <v>1121</v>
      </c>
      <c r="K377">
        <v>78</v>
      </c>
      <c r="L377" t="str">
        <f>IF(Table1[[#This Row],[Sales_Volume]]&gt;Table1[[#This Row],[Stock_Quantity]],"Pending","Fulfilled")</f>
        <v>Fulfilled</v>
      </c>
      <c r="M377">
        <v>6</v>
      </c>
      <c r="N377">
        <v>28</v>
      </c>
      <c r="O377" t="str">
        <f>IF(Table1[[#This Row],[Stock_Quantity]]&lt;=Table1[[#This Row],[Reorder_Level]],"Reoeder required","Sufficient")</f>
        <v>Sufficient</v>
      </c>
      <c r="P377" t="str">
        <f>IF(Table1[[#This Row],[Stock_Quantity]]=0,"Out of stock","Available")</f>
        <v>Available</v>
      </c>
    </row>
    <row r="378" spans="1:16" x14ac:dyDescent="0.3">
      <c r="A378" t="s">
        <v>1122</v>
      </c>
      <c r="B378" t="s">
        <v>378</v>
      </c>
      <c r="C378" t="s">
        <v>45</v>
      </c>
      <c r="D378" t="s">
        <v>1123</v>
      </c>
      <c r="E378">
        <v>89</v>
      </c>
      <c r="F378">
        <v>42</v>
      </c>
      <c r="G378">
        <v>76</v>
      </c>
      <c r="H378" s="1">
        <v>5</v>
      </c>
      <c r="I378" s="2">
        <v>45626</v>
      </c>
      <c r="J378" t="s">
        <v>1124</v>
      </c>
      <c r="K378">
        <v>94</v>
      </c>
      <c r="L378" t="str">
        <f>IF(Table1[[#This Row],[Sales_Volume]]&gt;Table1[[#This Row],[Stock_Quantity]],"Pending","Fulfilled")</f>
        <v>Pending</v>
      </c>
      <c r="M378">
        <v>7</v>
      </c>
      <c r="N378">
        <v>81</v>
      </c>
      <c r="O378" t="str">
        <f>IF(Table1[[#This Row],[Stock_Quantity]]&lt;=Table1[[#This Row],[Reorder_Level]],"Reoeder required","Sufficient")</f>
        <v>Sufficient</v>
      </c>
      <c r="P378" t="str">
        <f>IF(Table1[[#This Row],[Stock_Quantity]]=0,"Out of stock","Available")</f>
        <v>Available</v>
      </c>
    </row>
    <row r="379" spans="1:16" x14ac:dyDescent="0.3">
      <c r="A379" t="s">
        <v>1125</v>
      </c>
      <c r="B379" t="s">
        <v>1093</v>
      </c>
      <c r="C379" t="s">
        <v>13</v>
      </c>
      <c r="D379" t="s">
        <v>1126</v>
      </c>
      <c r="E379">
        <v>26</v>
      </c>
      <c r="F379">
        <v>21</v>
      </c>
      <c r="G379">
        <v>47</v>
      </c>
      <c r="H379" s="1">
        <v>10</v>
      </c>
      <c r="I379" s="2">
        <v>45520</v>
      </c>
      <c r="J379" t="s">
        <v>1127</v>
      </c>
      <c r="K379">
        <v>40</v>
      </c>
      <c r="L379" t="str">
        <f>IF(Table1[[#This Row],[Sales_Volume]]&gt;Table1[[#This Row],[Stock_Quantity]],"Pending","Fulfilled")</f>
        <v>Pending</v>
      </c>
      <c r="M379">
        <v>6</v>
      </c>
      <c r="N379">
        <v>59</v>
      </c>
      <c r="O379" t="str">
        <f>IF(Table1[[#This Row],[Stock_Quantity]]&lt;=Table1[[#This Row],[Reorder_Level]],"Reoeder required","Sufficient")</f>
        <v>Sufficient</v>
      </c>
      <c r="P379" t="str">
        <f>IF(Table1[[#This Row],[Stock_Quantity]]=0,"Out of stock","Available")</f>
        <v>Available</v>
      </c>
    </row>
    <row r="380" spans="1:16" x14ac:dyDescent="0.3">
      <c r="A380" t="s">
        <v>1128</v>
      </c>
      <c r="B380" t="s">
        <v>130</v>
      </c>
      <c r="C380" t="s">
        <v>31</v>
      </c>
      <c r="D380" t="s">
        <v>942</v>
      </c>
      <c r="E380">
        <v>26</v>
      </c>
      <c r="F380">
        <v>95</v>
      </c>
      <c r="G380">
        <v>36</v>
      </c>
      <c r="H380" s="1">
        <v>4.5</v>
      </c>
      <c r="I380" s="2">
        <v>45663</v>
      </c>
      <c r="J380" t="s">
        <v>1129</v>
      </c>
      <c r="K380">
        <v>92</v>
      </c>
      <c r="L380" t="str">
        <f>IF(Table1[[#This Row],[Sales_Volume]]&gt;Table1[[#This Row],[Stock_Quantity]],"Pending","Fulfilled")</f>
        <v>Pending</v>
      </c>
      <c r="M380">
        <v>6</v>
      </c>
      <c r="N380">
        <v>14</v>
      </c>
      <c r="O380" t="str">
        <f>IF(Table1[[#This Row],[Stock_Quantity]]&lt;=Table1[[#This Row],[Reorder_Level]],"Reoeder required","Sufficient")</f>
        <v>Reoeder required</v>
      </c>
      <c r="P380" t="str">
        <f>IF(Table1[[#This Row],[Stock_Quantity]]=0,"Out of stock","Available")</f>
        <v>Available</v>
      </c>
    </row>
    <row r="381" spans="1:16" x14ac:dyDescent="0.3">
      <c r="A381" t="s">
        <v>1130</v>
      </c>
      <c r="B381" t="s">
        <v>425</v>
      </c>
      <c r="C381" t="s">
        <v>31</v>
      </c>
      <c r="D381" t="s">
        <v>969</v>
      </c>
      <c r="E381">
        <v>37</v>
      </c>
      <c r="F381">
        <v>38</v>
      </c>
      <c r="G381">
        <v>24</v>
      </c>
      <c r="H381" s="1">
        <v>4</v>
      </c>
      <c r="I381" s="2">
        <v>45537</v>
      </c>
      <c r="J381" t="s">
        <v>1131</v>
      </c>
      <c r="K381">
        <v>93</v>
      </c>
      <c r="L381" t="str">
        <f>IF(Table1[[#This Row],[Sales_Volume]]&gt;Table1[[#This Row],[Stock_Quantity]],"Pending","Fulfilled")</f>
        <v>Pending</v>
      </c>
      <c r="M381">
        <v>6</v>
      </c>
      <c r="N381">
        <v>32</v>
      </c>
      <c r="O381" t="str">
        <f>IF(Table1[[#This Row],[Stock_Quantity]]&lt;=Table1[[#This Row],[Reorder_Level]],"Reoeder required","Sufficient")</f>
        <v>Reoeder required</v>
      </c>
      <c r="P381" t="str">
        <f>IF(Table1[[#This Row],[Stock_Quantity]]=0,"Out of stock","Available")</f>
        <v>Available</v>
      </c>
    </row>
    <row r="382" spans="1:16" x14ac:dyDescent="0.3">
      <c r="A382" t="s">
        <v>1132</v>
      </c>
      <c r="B382" t="s">
        <v>914</v>
      </c>
      <c r="C382" t="s">
        <v>45</v>
      </c>
      <c r="D382" t="s">
        <v>560</v>
      </c>
      <c r="E382">
        <v>76</v>
      </c>
      <c r="F382">
        <v>98</v>
      </c>
      <c r="G382">
        <v>41</v>
      </c>
      <c r="H382" s="1">
        <v>1.75</v>
      </c>
      <c r="I382" s="2">
        <v>45435</v>
      </c>
      <c r="J382" t="s">
        <v>1133</v>
      </c>
      <c r="K382">
        <v>62</v>
      </c>
      <c r="L382" t="str">
        <f>IF(Table1[[#This Row],[Sales_Volume]]&gt;Table1[[#This Row],[Stock_Quantity]],"Pending","Fulfilled")</f>
        <v>Fulfilled</v>
      </c>
      <c r="M382">
        <v>1</v>
      </c>
      <c r="N382">
        <v>48</v>
      </c>
      <c r="O382" t="str">
        <f>IF(Table1[[#This Row],[Stock_Quantity]]&lt;=Table1[[#This Row],[Reorder_Level]],"Reoeder required","Sufficient")</f>
        <v>Reoeder required</v>
      </c>
      <c r="P382" t="str">
        <f>IF(Table1[[#This Row],[Stock_Quantity]]=0,"Out of stock","Available")</f>
        <v>Available</v>
      </c>
    </row>
    <row r="383" spans="1:16" x14ac:dyDescent="0.3">
      <c r="A383" t="s">
        <v>1134</v>
      </c>
      <c r="B383" t="s">
        <v>76</v>
      </c>
      <c r="C383" t="s">
        <v>45</v>
      </c>
      <c r="D383" t="s">
        <v>856</v>
      </c>
      <c r="E383">
        <v>80</v>
      </c>
      <c r="F383">
        <v>43</v>
      </c>
      <c r="G383">
        <v>80</v>
      </c>
      <c r="H383" s="1">
        <v>7</v>
      </c>
      <c r="I383" s="2">
        <v>45540</v>
      </c>
      <c r="J383" t="s">
        <v>1135</v>
      </c>
      <c r="K383">
        <v>64</v>
      </c>
      <c r="L383" t="str">
        <f>IF(Table1[[#This Row],[Sales_Volume]]&gt;Table1[[#This Row],[Stock_Quantity]],"Pending","Fulfilled")</f>
        <v>Fulfilled</v>
      </c>
      <c r="M383">
        <v>5</v>
      </c>
      <c r="N383">
        <v>53</v>
      </c>
      <c r="O383" t="str">
        <f>IF(Table1[[#This Row],[Stock_Quantity]]&lt;=Table1[[#This Row],[Reorder_Level]],"Reoeder required","Sufficient")</f>
        <v>Sufficient</v>
      </c>
      <c r="P383" t="str">
        <f>IF(Table1[[#This Row],[Stock_Quantity]]=0,"Out of stock","Available")</f>
        <v>Available</v>
      </c>
    </row>
    <row r="384" spans="1:16" x14ac:dyDescent="0.3">
      <c r="A384" t="s">
        <v>1136</v>
      </c>
      <c r="B384" t="s">
        <v>1137</v>
      </c>
      <c r="C384" t="s">
        <v>31</v>
      </c>
      <c r="D384" t="s">
        <v>124</v>
      </c>
      <c r="E384">
        <v>100</v>
      </c>
      <c r="F384">
        <v>3</v>
      </c>
      <c r="G384">
        <v>32</v>
      </c>
      <c r="H384" s="1">
        <v>2</v>
      </c>
      <c r="I384" s="2">
        <v>45566</v>
      </c>
      <c r="J384" t="s">
        <v>1138</v>
      </c>
      <c r="K384">
        <v>98</v>
      </c>
      <c r="L384" t="str">
        <f>IF(Table1[[#This Row],[Sales_Volume]]&gt;Table1[[#This Row],[Stock_Quantity]],"Pending","Fulfilled")</f>
        <v>Fulfilled</v>
      </c>
      <c r="M384">
        <v>2</v>
      </c>
      <c r="N384">
        <v>91</v>
      </c>
      <c r="O384" t="str">
        <f>IF(Table1[[#This Row],[Stock_Quantity]]&lt;=Table1[[#This Row],[Reorder_Level]],"Reoeder required","Sufficient")</f>
        <v>Sufficient</v>
      </c>
      <c r="P384" t="str">
        <f>IF(Table1[[#This Row],[Stock_Quantity]]=0,"Out of stock","Available")</f>
        <v>Available</v>
      </c>
    </row>
    <row r="385" spans="1:16" x14ac:dyDescent="0.3">
      <c r="A385" t="s">
        <v>1139</v>
      </c>
      <c r="B385" t="s">
        <v>183</v>
      </c>
      <c r="C385" t="s">
        <v>45</v>
      </c>
      <c r="D385" t="s">
        <v>817</v>
      </c>
      <c r="E385">
        <v>21</v>
      </c>
      <c r="F385">
        <v>87</v>
      </c>
      <c r="G385">
        <v>67</v>
      </c>
      <c r="H385" s="1">
        <v>3.1</v>
      </c>
      <c r="I385" s="2">
        <v>45680</v>
      </c>
      <c r="J385" t="s">
        <v>1140</v>
      </c>
      <c r="K385">
        <v>64</v>
      </c>
      <c r="L385" t="str">
        <f>IF(Table1[[#This Row],[Sales_Volume]]&gt;Table1[[#This Row],[Stock_Quantity]],"Pending","Fulfilled")</f>
        <v>Pending</v>
      </c>
      <c r="M385">
        <v>3</v>
      </c>
      <c r="N385">
        <v>69</v>
      </c>
      <c r="O385" t="str">
        <f>IF(Table1[[#This Row],[Stock_Quantity]]&lt;=Table1[[#This Row],[Reorder_Level]],"Reoeder required","Sufficient")</f>
        <v>Reoeder required</v>
      </c>
      <c r="P385" t="str">
        <f>IF(Table1[[#This Row],[Stock_Quantity]]=0,"Out of stock","Available")</f>
        <v>Available</v>
      </c>
    </row>
    <row r="386" spans="1:16" x14ac:dyDescent="0.3">
      <c r="A386" t="s">
        <v>1141</v>
      </c>
      <c r="B386" t="s">
        <v>1142</v>
      </c>
      <c r="C386" t="s">
        <v>40</v>
      </c>
      <c r="D386" t="s">
        <v>580</v>
      </c>
      <c r="E386">
        <v>33</v>
      </c>
      <c r="F386">
        <v>78</v>
      </c>
      <c r="G386">
        <v>79</v>
      </c>
      <c r="H386" s="1">
        <v>5</v>
      </c>
      <c r="I386" s="2">
        <v>45484</v>
      </c>
      <c r="J386" t="s">
        <v>1143</v>
      </c>
      <c r="K386">
        <v>60</v>
      </c>
      <c r="L386" t="str">
        <f>IF(Table1[[#This Row],[Sales_Volume]]&gt;Table1[[#This Row],[Stock_Quantity]],"Pending","Fulfilled")</f>
        <v>Pending</v>
      </c>
      <c r="M386">
        <v>8</v>
      </c>
      <c r="N386">
        <v>25</v>
      </c>
      <c r="O386" t="str">
        <f>IF(Table1[[#This Row],[Stock_Quantity]]&lt;=Table1[[#This Row],[Reorder_Level]],"Reoeder required","Sufficient")</f>
        <v>Reoeder required</v>
      </c>
      <c r="P386" t="str">
        <f>IF(Table1[[#This Row],[Stock_Quantity]]=0,"Out of stock","Available")</f>
        <v>Available</v>
      </c>
    </row>
    <row r="387" spans="1:16" x14ac:dyDescent="0.3">
      <c r="A387" t="s">
        <v>1144</v>
      </c>
      <c r="B387" t="s">
        <v>926</v>
      </c>
      <c r="C387" t="s">
        <v>31</v>
      </c>
      <c r="D387" t="s">
        <v>843</v>
      </c>
      <c r="E387">
        <v>43</v>
      </c>
      <c r="F387">
        <v>63</v>
      </c>
      <c r="G387">
        <v>99</v>
      </c>
      <c r="H387" s="1">
        <v>3.5</v>
      </c>
      <c r="I387" s="2">
        <v>45639</v>
      </c>
      <c r="J387" t="s">
        <v>1145</v>
      </c>
      <c r="K387">
        <v>39</v>
      </c>
      <c r="L387" t="str">
        <f>IF(Table1[[#This Row],[Sales_Volume]]&gt;Table1[[#This Row],[Stock_Quantity]],"Pending","Fulfilled")</f>
        <v>Fulfilled</v>
      </c>
      <c r="M387">
        <v>2</v>
      </c>
      <c r="N387">
        <v>77</v>
      </c>
      <c r="O387" t="str">
        <f>IF(Table1[[#This Row],[Stock_Quantity]]&lt;=Table1[[#This Row],[Reorder_Level]],"Reoeder required","Sufficient")</f>
        <v>Reoeder required</v>
      </c>
      <c r="P387" t="str">
        <f>IF(Table1[[#This Row],[Stock_Quantity]]=0,"Out of stock","Available")</f>
        <v>Available</v>
      </c>
    </row>
    <row r="388" spans="1:16" x14ac:dyDescent="0.3">
      <c r="A388" t="s">
        <v>1146</v>
      </c>
      <c r="B388" t="s">
        <v>123</v>
      </c>
      <c r="C388" t="s">
        <v>31</v>
      </c>
      <c r="D388" t="s">
        <v>625</v>
      </c>
      <c r="E388">
        <v>34</v>
      </c>
      <c r="F388">
        <v>1</v>
      </c>
      <c r="G388">
        <v>79</v>
      </c>
      <c r="H388" s="1">
        <v>6.2</v>
      </c>
      <c r="I388" s="2">
        <v>45646</v>
      </c>
      <c r="J388" t="s">
        <v>1147</v>
      </c>
      <c r="K388">
        <v>58</v>
      </c>
      <c r="L388" t="str">
        <f>IF(Table1[[#This Row],[Sales_Volume]]&gt;Table1[[#This Row],[Stock_Quantity]],"Pending","Fulfilled")</f>
        <v>Pending</v>
      </c>
      <c r="M388">
        <v>3</v>
      </c>
      <c r="N388">
        <v>36</v>
      </c>
      <c r="O388" t="str">
        <f>IF(Table1[[#This Row],[Stock_Quantity]]&lt;=Table1[[#This Row],[Reorder_Level]],"Reoeder required","Sufficient")</f>
        <v>Sufficient</v>
      </c>
      <c r="P388" t="str">
        <f>IF(Table1[[#This Row],[Stock_Quantity]]=0,"Out of stock","Available")</f>
        <v>Available</v>
      </c>
    </row>
    <row r="389" spans="1:16" x14ac:dyDescent="0.3">
      <c r="A389" t="s">
        <v>1148</v>
      </c>
      <c r="B389" t="s">
        <v>786</v>
      </c>
      <c r="C389" t="s">
        <v>99</v>
      </c>
      <c r="D389" t="s">
        <v>758</v>
      </c>
      <c r="E389">
        <v>82</v>
      </c>
      <c r="F389">
        <v>25</v>
      </c>
      <c r="G389">
        <v>94</v>
      </c>
      <c r="H389" s="1">
        <v>7.5</v>
      </c>
      <c r="I389" s="2">
        <v>45367</v>
      </c>
      <c r="J389" t="s">
        <v>1149</v>
      </c>
      <c r="K389">
        <v>66</v>
      </c>
      <c r="L389" t="str">
        <f>IF(Table1[[#This Row],[Sales_Volume]]&gt;Table1[[#This Row],[Stock_Quantity]],"Pending","Fulfilled")</f>
        <v>Fulfilled</v>
      </c>
      <c r="M389">
        <v>2</v>
      </c>
      <c r="N389">
        <v>14</v>
      </c>
      <c r="O389" t="str">
        <f>IF(Table1[[#This Row],[Stock_Quantity]]&lt;=Table1[[#This Row],[Reorder_Level]],"Reoeder required","Sufficient")</f>
        <v>Sufficient</v>
      </c>
      <c r="P389" t="str">
        <f>IF(Table1[[#This Row],[Stock_Quantity]]=0,"Out of stock","Available")</f>
        <v>Available</v>
      </c>
    </row>
    <row r="390" spans="1:16" x14ac:dyDescent="0.3">
      <c r="A390" t="s">
        <v>1150</v>
      </c>
      <c r="B390" t="s">
        <v>1151</v>
      </c>
      <c r="C390" t="s">
        <v>65</v>
      </c>
      <c r="D390" t="s">
        <v>942</v>
      </c>
      <c r="E390">
        <v>17</v>
      </c>
      <c r="F390">
        <v>63</v>
      </c>
      <c r="G390">
        <v>3</v>
      </c>
      <c r="H390" s="1">
        <v>3.5</v>
      </c>
      <c r="I390" s="2">
        <v>45528</v>
      </c>
      <c r="J390" t="s">
        <v>1152</v>
      </c>
      <c r="K390">
        <v>93</v>
      </c>
      <c r="L390" t="str">
        <f>IF(Table1[[#This Row],[Sales_Volume]]&gt;Table1[[#This Row],[Stock_Quantity]],"Pending","Fulfilled")</f>
        <v>Pending</v>
      </c>
      <c r="M390">
        <v>2</v>
      </c>
      <c r="N390">
        <v>26</v>
      </c>
      <c r="O390" t="str">
        <f>IF(Table1[[#This Row],[Stock_Quantity]]&lt;=Table1[[#This Row],[Reorder_Level]],"Reoeder required","Sufficient")</f>
        <v>Reoeder required</v>
      </c>
      <c r="P390" t="str">
        <f>IF(Table1[[#This Row],[Stock_Quantity]]=0,"Out of stock","Available")</f>
        <v>Available</v>
      </c>
    </row>
    <row r="391" spans="1:16" x14ac:dyDescent="0.3">
      <c r="A391" t="s">
        <v>1153</v>
      </c>
      <c r="B391" t="s">
        <v>12</v>
      </c>
      <c r="C391" t="s">
        <v>13</v>
      </c>
      <c r="D391" t="s">
        <v>945</v>
      </c>
      <c r="E391">
        <v>36</v>
      </c>
      <c r="F391">
        <v>81</v>
      </c>
      <c r="G391">
        <v>54</v>
      </c>
      <c r="H391" s="1">
        <v>4.75</v>
      </c>
      <c r="I391" s="2">
        <v>45646</v>
      </c>
      <c r="J391" t="s">
        <v>1154</v>
      </c>
      <c r="K391">
        <v>73</v>
      </c>
      <c r="L391" t="str">
        <f>IF(Table1[[#This Row],[Sales_Volume]]&gt;Table1[[#This Row],[Stock_Quantity]],"Pending","Fulfilled")</f>
        <v>Pending</v>
      </c>
      <c r="M391">
        <v>6</v>
      </c>
      <c r="N391">
        <v>60</v>
      </c>
      <c r="O391" t="str">
        <f>IF(Table1[[#This Row],[Stock_Quantity]]&lt;=Table1[[#This Row],[Reorder_Level]],"Reoeder required","Sufficient")</f>
        <v>Reoeder required</v>
      </c>
      <c r="P391" t="str">
        <f>IF(Table1[[#This Row],[Stock_Quantity]]=0,"Out of stock","Available")</f>
        <v>Available</v>
      </c>
    </row>
    <row r="392" spans="1:16" x14ac:dyDescent="0.3">
      <c r="A392" t="s">
        <v>1155</v>
      </c>
      <c r="B392" t="s">
        <v>408</v>
      </c>
      <c r="C392" t="s">
        <v>99</v>
      </c>
      <c r="D392" t="s">
        <v>188</v>
      </c>
      <c r="E392">
        <v>65</v>
      </c>
      <c r="F392">
        <v>79</v>
      </c>
      <c r="G392">
        <v>52</v>
      </c>
      <c r="H392" s="1">
        <v>8</v>
      </c>
      <c r="I392" s="2">
        <v>45568</v>
      </c>
      <c r="J392" t="s">
        <v>1156</v>
      </c>
      <c r="K392">
        <v>56</v>
      </c>
      <c r="L392" t="str">
        <f>IF(Table1[[#This Row],[Sales_Volume]]&gt;Table1[[#This Row],[Stock_Quantity]],"Pending","Fulfilled")</f>
        <v>Fulfilled</v>
      </c>
      <c r="M392">
        <v>8</v>
      </c>
      <c r="N392">
        <v>94</v>
      </c>
      <c r="O392" t="str">
        <f>IF(Table1[[#This Row],[Stock_Quantity]]&lt;=Table1[[#This Row],[Reorder_Level]],"Reoeder required","Sufficient")</f>
        <v>Reoeder required</v>
      </c>
      <c r="P392" t="str">
        <f>IF(Table1[[#This Row],[Stock_Quantity]]=0,"Out of stock","Available")</f>
        <v>Available</v>
      </c>
    </row>
    <row r="393" spans="1:16" x14ac:dyDescent="0.3">
      <c r="A393" t="s">
        <v>1157</v>
      </c>
      <c r="B393" t="s">
        <v>905</v>
      </c>
      <c r="C393" t="s">
        <v>31</v>
      </c>
      <c r="D393" t="s">
        <v>240</v>
      </c>
      <c r="E393">
        <v>45</v>
      </c>
      <c r="F393">
        <v>28</v>
      </c>
      <c r="G393">
        <v>6</v>
      </c>
      <c r="H393" s="1">
        <v>4.5</v>
      </c>
      <c r="I393" s="2">
        <v>45680</v>
      </c>
      <c r="J393" t="s">
        <v>1158</v>
      </c>
      <c r="K393">
        <v>35</v>
      </c>
      <c r="L393" t="str">
        <f>IF(Table1[[#This Row],[Sales_Volume]]&gt;Table1[[#This Row],[Stock_Quantity]],"Pending","Fulfilled")</f>
        <v>Fulfilled</v>
      </c>
      <c r="M393">
        <v>3</v>
      </c>
      <c r="N393">
        <v>16</v>
      </c>
      <c r="O393" t="str">
        <f>IF(Table1[[#This Row],[Stock_Quantity]]&lt;=Table1[[#This Row],[Reorder_Level]],"Reoeder required","Sufficient")</f>
        <v>Sufficient</v>
      </c>
      <c r="P393" t="str">
        <f>IF(Table1[[#This Row],[Stock_Quantity]]=0,"Out of stock","Available")</f>
        <v>Available</v>
      </c>
    </row>
    <row r="394" spans="1:16" x14ac:dyDescent="0.3">
      <c r="A394" t="s">
        <v>1159</v>
      </c>
      <c r="B394" t="s">
        <v>44</v>
      </c>
      <c r="C394" t="s">
        <v>45</v>
      </c>
      <c r="D394" t="s">
        <v>317</v>
      </c>
      <c r="E394">
        <v>35</v>
      </c>
      <c r="F394">
        <v>78</v>
      </c>
      <c r="G394">
        <v>68</v>
      </c>
      <c r="H394" s="1">
        <v>2.5</v>
      </c>
      <c r="I394" s="2">
        <v>45676</v>
      </c>
      <c r="J394" t="s">
        <v>1160</v>
      </c>
      <c r="K394">
        <v>95</v>
      </c>
      <c r="L394" t="str">
        <f>IF(Table1[[#This Row],[Sales_Volume]]&gt;Table1[[#This Row],[Stock_Quantity]],"Pending","Fulfilled")</f>
        <v>Pending</v>
      </c>
      <c r="M394">
        <v>5</v>
      </c>
      <c r="N394">
        <v>91</v>
      </c>
      <c r="O394" t="str">
        <f>IF(Table1[[#This Row],[Stock_Quantity]]&lt;=Table1[[#This Row],[Reorder_Level]],"Reoeder required","Sufficient")</f>
        <v>Reoeder required</v>
      </c>
      <c r="P394" t="str">
        <f>IF(Table1[[#This Row],[Stock_Quantity]]=0,"Out of stock","Available")</f>
        <v>Available</v>
      </c>
    </row>
    <row r="395" spans="1:16" x14ac:dyDescent="0.3">
      <c r="A395" t="s">
        <v>1161</v>
      </c>
      <c r="B395" t="s">
        <v>80</v>
      </c>
      <c r="C395" t="s">
        <v>13</v>
      </c>
      <c r="D395" t="s">
        <v>1162</v>
      </c>
      <c r="E395">
        <v>96</v>
      </c>
      <c r="F395">
        <v>83</v>
      </c>
      <c r="G395">
        <v>50</v>
      </c>
      <c r="H395" s="1">
        <v>1.5</v>
      </c>
      <c r="I395" s="2">
        <v>45381</v>
      </c>
      <c r="J395" t="s">
        <v>1163</v>
      </c>
      <c r="K395">
        <v>81</v>
      </c>
      <c r="L395" t="str">
        <f>IF(Table1[[#This Row],[Sales_Volume]]&gt;Table1[[#This Row],[Stock_Quantity]],"Pending","Fulfilled")</f>
        <v>Fulfilled</v>
      </c>
      <c r="M395">
        <v>2</v>
      </c>
      <c r="N395">
        <v>89</v>
      </c>
      <c r="O395" t="str">
        <f>IF(Table1[[#This Row],[Stock_Quantity]]&lt;=Table1[[#This Row],[Reorder_Level]],"Reoeder required","Sufficient")</f>
        <v>Sufficient</v>
      </c>
      <c r="P395" t="str">
        <f>IF(Table1[[#This Row],[Stock_Quantity]]=0,"Out of stock","Available")</f>
        <v>Available</v>
      </c>
    </row>
    <row r="396" spans="1:16" x14ac:dyDescent="0.3">
      <c r="A396" t="s">
        <v>1164</v>
      </c>
      <c r="B396" t="s">
        <v>405</v>
      </c>
      <c r="C396" t="s">
        <v>31</v>
      </c>
      <c r="D396" t="s">
        <v>208</v>
      </c>
      <c r="E396">
        <v>56</v>
      </c>
      <c r="F396">
        <v>75</v>
      </c>
      <c r="G396">
        <v>13</v>
      </c>
      <c r="H396" s="1">
        <v>5</v>
      </c>
      <c r="I396" s="2">
        <v>45386</v>
      </c>
      <c r="J396" t="s">
        <v>1165</v>
      </c>
      <c r="K396">
        <v>42</v>
      </c>
      <c r="L396" t="str">
        <f>IF(Table1[[#This Row],[Sales_Volume]]&gt;Table1[[#This Row],[Stock_Quantity]],"Pending","Fulfilled")</f>
        <v>Fulfilled</v>
      </c>
      <c r="M396">
        <v>2</v>
      </c>
      <c r="N396">
        <v>53</v>
      </c>
      <c r="O396" t="str">
        <f>IF(Table1[[#This Row],[Stock_Quantity]]&lt;=Table1[[#This Row],[Reorder_Level]],"Reoeder required","Sufficient")</f>
        <v>Reoeder required</v>
      </c>
      <c r="P396" t="str">
        <f>IF(Table1[[#This Row],[Stock_Quantity]]=0,"Out of stock","Available")</f>
        <v>Available</v>
      </c>
    </row>
    <row r="397" spans="1:16" x14ac:dyDescent="0.3">
      <c r="A397" t="s">
        <v>1166</v>
      </c>
      <c r="B397" t="s">
        <v>252</v>
      </c>
      <c r="C397" t="s">
        <v>45</v>
      </c>
      <c r="D397" t="s">
        <v>456</v>
      </c>
      <c r="E397">
        <v>49</v>
      </c>
      <c r="F397">
        <v>94</v>
      </c>
      <c r="G397">
        <v>18</v>
      </c>
      <c r="H397" s="1">
        <v>6</v>
      </c>
      <c r="I397" s="2">
        <v>45514</v>
      </c>
      <c r="J397" t="s">
        <v>1167</v>
      </c>
      <c r="K397">
        <v>38</v>
      </c>
      <c r="L397" t="str">
        <f>IF(Table1[[#This Row],[Sales_Volume]]&gt;Table1[[#This Row],[Stock_Quantity]],"Pending","Fulfilled")</f>
        <v>Fulfilled</v>
      </c>
      <c r="M397">
        <v>6</v>
      </c>
      <c r="N397">
        <v>11</v>
      </c>
      <c r="O397" t="str">
        <f>IF(Table1[[#This Row],[Stock_Quantity]]&lt;=Table1[[#This Row],[Reorder_Level]],"Reoeder required","Sufficient")</f>
        <v>Reoeder required</v>
      </c>
      <c r="P397" t="str">
        <f>IF(Table1[[#This Row],[Stock_Quantity]]=0,"Out of stock","Available")</f>
        <v>Available</v>
      </c>
    </row>
    <row r="398" spans="1:16" x14ac:dyDescent="0.3">
      <c r="A398" t="s">
        <v>1168</v>
      </c>
      <c r="B398" t="s">
        <v>115</v>
      </c>
      <c r="C398" t="s">
        <v>13</v>
      </c>
      <c r="D398" t="s">
        <v>331</v>
      </c>
      <c r="E398">
        <v>100</v>
      </c>
      <c r="F398">
        <v>10</v>
      </c>
      <c r="G398">
        <v>89</v>
      </c>
      <c r="H398" s="1">
        <v>1.5</v>
      </c>
      <c r="I398" s="2">
        <v>45658</v>
      </c>
      <c r="J398" t="s">
        <v>1169</v>
      </c>
      <c r="K398">
        <v>76</v>
      </c>
      <c r="L398" t="str">
        <f>IF(Table1[[#This Row],[Sales_Volume]]&gt;Table1[[#This Row],[Stock_Quantity]],"Pending","Fulfilled")</f>
        <v>Fulfilled</v>
      </c>
      <c r="M398">
        <v>6</v>
      </c>
      <c r="N398">
        <v>38</v>
      </c>
      <c r="O398" t="str">
        <f>IF(Table1[[#This Row],[Stock_Quantity]]&lt;=Table1[[#This Row],[Reorder_Level]],"Reoeder required","Sufficient")</f>
        <v>Sufficient</v>
      </c>
      <c r="P398" t="str">
        <f>IF(Table1[[#This Row],[Stock_Quantity]]=0,"Out of stock","Available")</f>
        <v>Available</v>
      </c>
    </row>
    <row r="399" spans="1:16" x14ac:dyDescent="0.3">
      <c r="A399" t="s">
        <v>1170</v>
      </c>
      <c r="B399" t="s">
        <v>150</v>
      </c>
      <c r="C399" t="s">
        <v>99</v>
      </c>
      <c r="D399" t="s">
        <v>1171</v>
      </c>
      <c r="E399">
        <v>30</v>
      </c>
      <c r="F399">
        <v>81</v>
      </c>
      <c r="G399">
        <v>99</v>
      </c>
      <c r="H399" s="1">
        <v>9</v>
      </c>
      <c r="I399" s="2">
        <v>45687</v>
      </c>
      <c r="J399" t="s">
        <v>1172</v>
      </c>
      <c r="K399">
        <v>99</v>
      </c>
      <c r="L399" t="str">
        <f>IF(Table1[[#This Row],[Sales_Volume]]&gt;Table1[[#This Row],[Stock_Quantity]],"Pending","Fulfilled")</f>
        <v>Pending</v>
      </c>
      <c r="M399">
        <v>5</v>
      </c>
      <c r="N399">
        <v>3</v>
      </c>
      <c r="O399" t="str">
        <f>IF(Table1[[#This Row],[Stock_Quantity]]&lt;=Table1[[#This Row],[Reorder_Level]],"Reoeder required","Sufficient")</f>
        <v>Reoeder required</v>
      </c>
      <c r="P399" t="str">
        <f>IF(Table1[[#This Row],[Stock_Quantity]]=0,"Out of stock","Available")</f>
        <v>Available</v>
      </c>
    </row>
    <row r="400" spans="1:16" x14ac:dyDescent="0.3">
      <c r="A400" t="s">
        <v>1173</v>
      </c>
      <c r="B400" t="s">
        <v>905</v>
      </c>
      <c r="C400" t="s">
        <v>31</v>
      </c>
      <c r="D400" t="s">
        <v>27</v>
      </c>
      <c r="E400">
        <v>20</v>
      </c>
      <c r="F400">
        <v>91</v>
      </c>
      <c r="G400">
        <v>12</v>
      </c>
      <c r="H400" s="1">
        <v>4.5</v>
      </c>
      <c r="I400" s="2">
        <v>45639</v>
      </c>
      <c r="J400" t="s">
        <v>1174</v>
      </c>
      <c r="K400">
        <v>35</v>
      </c>
      <c r="L400" t="str">
        <f>IF(Table1[[#This Row],[Sales_Volume]]&gt;Table1[[#This Row],[Stock_Quantity]],"Pending","Fulfilled")</f>
        <v>Pending</v>
      </c>
      <c r="M400">
        <v>8</v>
      </c>
      <c r="N400">
        <v>50</v>
      </c>
      <c r="O400" t="str">
        <f>IF(Table1[[#This Row],[Stock_Quantity]]&lt;=Table1[[#This Row],[Reorder_Level]],"Reoeder required","Sufficient")</f>
        <v>Reoeder required</v>
      </c>
      <c r="P400" t="str">
        <f>IF(Table1[[#This Row],[Stock_Quantity]]=0,"Out of stock","Available")</f>
        <v>Available</v>
      </c>
    </row>
    <row r="401" spans="1:16" x14ac:dyDescent="0.3">
      <c r="A401" t="s">
        <v>1175</v>
      </c>
      <c r="B401" t="s">
        <v>563</v>
      </c>
      <c r="C401" t="s">
        <v>40</v>
      </c>
      <c r="D401" t="s">
        <v>1176</v>
      </c>
      <c r="E401">
        <v>85</v>
      </c>
      <c r="F401">
        <v>15</v>
      </c>
      <c r="G401">
        <v>16</v>
      </c>
      <c r="H401" s="1">
        <v>6.5</v>
      </c>
      <c r="I401" s="2">
        <v>45707</v>
      </c>
      <c r="J401" t="s">
        <v>1177</v>
      </c>
      <c r="K401">
        <v>46</v>
      </c>
      <c r="L401" t="str">
        <f>IF(Table1[[#This Row],[Sales_Volume]]&gt;Table1[[#This Row],[Stock_Quantity]],"Pending","Fulfilled")</f>
        <v>Fulfilled</v>
      </c>
      <c r="M401">
        <v>7</v>
      </c>
      <c r="N401">
        <v>24</v>
      </c>
      <c r="O401" t="str">
        <f>IF(Table1[[#This Row],[Stock_Quantity]]&lt;=Table1[[#This Row],[Reorder_Level]],"Reoeder required","Sufficient")</f>
        <v>Sufficient</v>
      </c>
      <c r="P401" t="str">
        <f>IF(Table1[[#This Row],[Stock_Quantity]]=0,"Out of stock","Available")</f>
        <v>Available</v>
      </c>
    </row>
    <row r="402" spans="1:16" x14ac:dyDescent="0.3">
      <c r="A402" t="s">
        <v>1178</v>
      </c>
      <c r="B402" t="s">
        <v>103</v>
      </c>
      <c r="C402" t="s">
        <v>31</v>
      </c>
      <c r="D402" t="s">
        <v>625</v>
      </c>
      <c r="E402">
        <v>86</v>
      </c>
      <c r="F402">
        <v>90</v>
      </c>
      <c r="G402">
        <v>39</v>
      </c>
      <c r="H402" s="1">
        <v>2.1</v>
      </c>
      <c r="I402" s="2">
        <v>45350</v>
      </c>
      <c r="J402" t="s">
        <v>1179</v>
      </c>
      <c r="K402">
        <v>98</v>
      </c>
      <c r="L402" t="str">
        <f>IF(Table1[[#This Row],[Sales_Volume]]&gt;Table1[[#This Row],[Stock_Quantity]],"Pending","Fulfilled")</f>
        <v>Pending</v>
      </c>
      <c r="M402">
        <v>8</v>
      </c>
      <c r="N402">
        <v>85</v>
      </c>
      <c r="O402" t="str">
        <f>IF(Table1[[#This Row],[Stock_Quantity]]&lt;=Table1[[#This Row],[Reorder_Level]],"Reoeder required","Sufficient")</f>
        <v>Reoeder required</v>
      </c>
      <c r="P402" t="str">
        <f>IF(Table1[[#This Row],[Stock_Quantity]]=0,"Out of stock","Available")</f>
        <v>Available</v>
      </c>
    </row>
    <row r="403" spans="1:16" x14ac:dyDescent="0.3">
      <c r="A403" t="s">
        <v>1180</v>
      </c>
      <c r="B403" t="s">
        <v>204</v>
      </c>
      <c r="C403" t="s">
        <v>65</v>
      </c>
      <c r="D403" t="s">
        <v>1181</v>
      </c>
      <c r="E403">
        <v>65</v>
      </c>
      <c r="F403">
        <v>79</v>
      </c>
      <c r="G403">
        <v>49</v>
      </c>
      <c r="H403" s="1">
        <v>4</v>
      </c>
      <c r="I403" s="2">
        <v>45453</v>
      </c>
      <c r="J403" t="s">
        <v>1182</v>
      </c>
      <c r="K403">
        <v>100</v>
      </c>
      <c r="L403" t="str">
        <f>IF(Table1[[#This Row],[Sales_Volume]]&gt;Table1[[#This Row],[Stock_Quantity]],"Pending","Fulfilled")</f>
        <v>Pending</v>
      </c>
      <c r="M403">
        <v>1</v>
      </c>
      <c r="N403">
        <v>9</v>
      </c>
      <c r="O403" t="str">
        <f>IF(Table1[[#This Row],[Stock_Quantity]]&lt;=Table1[[#This Row],[Reorder_Level]],"Reoeder required","Sufficient")</f>
        <v>Reoeder required</v>
      </c>
      <c r="P403" t="str">
        <f>IF(Table1[[#This Row],[Stock_Quantity]]=0,"Out of stock","Available")</f>
        <v>Available</v>
      </c>
    </row>
    <row r="404" spans="1:16" x14ac:dyDescent="0.3">
      <c r="A404" t="s">
        <v>1183</v>
      </c>
      <c r="B404" t="s">
        <v>378</v>
      </c>
      <c r="C404" t="s">
        <v>45</v>
      </c>
      <c r="D404" t="s">
        <v>645</v>
      </c>
      <c r="E404">
        <v>67</v>
      </c>
      <c r="F404">
        <v>98</v>
      </c>
      <c r="G404">
        <v>92</v>
      </c>
      <c r="H404" s="1">
        <v>5</v>
      </c>
      <c r="I404" s="2">
        <v>45535</v>
      </c>
      <c r="J404" t="s">
        <v>1184</v>
      </c>
      <c r="K404">
        <v>35</v>
      </c>
      <c r="L404" t="str">
        <f>IF(Table1[[#This Row],[Sales_Volume]]&gt;Table1[[#This Row],[Stock_Quantity]],"Pending","Fulfilled")</f>
        <v>Fulfilled</v>
      </c>
      <c r="M404">
        <v>3</v>
      </c>
      <c r="N404">
        <v>98</v>
      </c>
      <c r="O404" t="str">
        <f>IF(Table1[[#This Row],[Stock_Quantity]]&lt;=Table1[[#This Row],[Reorder_Level]],"Reoeder required","Sufficient")</f>
        <v>Reoeder required</v>
      </c>
      <c r="P404" t="str">
        <f>IF(Table1[[#This Row],[Stock_Quantity]]=0,"Out of stock","Available")</f>
        <v>Available</v>
      </c>
    </row>
    <row r="405" spans="1:16" x14ac:dyDescent="0.3">
      <c r="A405" t="s">
        <v>1185</v>
      </c>
      <c r="B405" t="s">
        <v>252</v>
      </c>
      <c r="C405" t="s">
        <v>45</v>
      </c>
      <c r="D405" t="s">
        <v>853</v>
      </c>
      <c r="E405">
        <v>88</v>
      </c>
      <c r="F405">
        <v>4</v>
      </c>
      <c r="G405">
        <v>79</v>
      </c>
      <c r="H405" s="1">
        <v>6</v>
      </c>
      <c r="I405" s="2">
        <v>45445</v>
      </c>
      <c r="J405" t="s">
        <v>1186</v>
      </c>
      <c r="K405">
        <v>23</v>
      </c>
      <c r="L405" t="str">
        <f>IF(Table1[[#This Row],[Sales_Volume]]&gt;Table1[[#This Row],[Stock_Quantity]],"Pending","Fulfilled")</f>
        <v>Fulfilled</v>
      </c>
      <c r="M405">
        <v>2</v>
      </c>
      <c r="N405">
        <v>39</v>
      </c>
      <c r="O405" t="str">
        <f>IF(Table1[[#This Row],[Stock_Quantity]]&lt;=Table1[[#This Row],[Reorder_Level]],"Reoeder required","Sufficient")</f>
        <v>Sufficient</v>
      </c>
      <c r="P405" t="str">
        <f>IF(Table1[[#This Row],[Stock_Quantity]]=0,"Out of stock","Available")</f>
        <v>Available</v>
      </c>
    </row>
    <row r="406" spans="1:16" x14ac:dyDescent="0.3">
      <c r="A406" t="s">
        <v>1187</v>
      </c>
      <c r="B406" t="s">
        <v>591</v>
      </c>
      <c r="C406" t="s">
        <v>18</v>
      </c>
      <c r="D406" t="s">
        <v>1188</v>
      </c>
      <c r="E406">
        <v>14</v>
      </c>
      <c r="F406">
        <v>77</v>
      </c>
      <c r="G406">
        <v>78</v>
      </c>
      <c r="H406" s="1">
        <v>10</v>
      </c>
      <c r="I406" s="2">
        <v>45532</v>
      </c>
      <c r="J406" t="s">
        <v>1189</v>
      </c>
      <c r="K406">
        <v>32</v>
      </c>
      <c r="L406" t="str">
        <f>IF(Table1[[#This Row],[Sales_Volume]]&gt;Table1[[#This Row],[Stock_Quantity]],"Pending","Fulfilled")</f>
        <v>Pending</v>
      </c>
      <c r="M406">
        <v>2</v>
      </c>
      <c r="N406">
        <v>24</v>
      </c>
      <c r="O406" t="str">
        <f>IF(Table1[[#This Row],[Stock_Quantity]]&lt;=Table1[[#This Row],[Reorder_Level]],"Reoeder required","Sufficient")</f>
        <v>Reoeder required</v>
      </c>
      <c r="P406" t="str">
        <f>IF(Table1[[#This Row],[Stock_Quantity]]=0,"Out of stock","Available")</f>
        <v>Available</v>
      </c>
    </row>
    <row r="407" spans="1:16" x14ac:dyDescent="0.3">
      <c r="A407" t="s">
        <v>1190</v>
      </c>
      <c r="B407" t="s">
        <v>390</v>
      </c>
      <c r="C407" t="s">
        <v>99</v>
      </c>
      <c r="D407" t="s">
        <v>976</v>
      </c>
      <c r="E407">
        <v>85</v>
      </c>
      <c r="F407">
        <v>92</v>
      </c>
      <c r="G407">
        <v>66</v>
      </c>
      <c r="H407" s="1">
        <v>6.7</v>
      </c>
      <c r="I407" s="2">
        <v>45658</v>
      </c>
      <c r="J407" t="s">
        <v>1191</v>
      </c>
      <c r="K407">
        <v>54</v>
      </c>
      <c r="L407" t="str">
        <f>IF(Table1[[#This Row],[Sales_Volume]]&gt;Table1[[#This Row],[Stock_Quantity]],"Pending","Fulfilled")</f>
        <v>Fulfilled</v>
      </c>
      <c r="M407">
        <v>5</v>
      </c>
      <c r="N407">
        <v>85</v>
      </c>
      <c r="O407" t="str">
        <f>IF(Table1[[#This Row],[Stock_Quantity]]&lt;=Table1[[#This Row],[Reorder_Level]],"Reoeder required","Sufficient")</f>
        <v>Reoeder required</v>
      </c>
      <c r="P407" t="str">
        <f>IF(Table1[[#This Row],[Stock_Quantity]]=0,"Out of stock","Available")</f>
        <v>Available</v>
      </c>
    </row>
    <row r="408" spans="1:16" x14ac:dyDescent="0.3">
      <c r="A408" t="s">
        <v>1192</v>
      </c>
      <c r="B408" t="s">
        <v>76</v>
      </c>
      <c r="C408" t="s">
        <v>45</v>
      </c>
      <c r="D408" t="s">
        <v>50</v>
      </c>
      <c r="E408">
        <v>74</v>
      </c>
      <c r="F408">
        <v>65</v>
      </c>
      <c r="G408">
        <v>5</v>
      </c>
      <c r="H408" s="1">
        <v>7</v>
      </c>
      <c r="I408" s="2">
        <v>45500</v>
      </c>
      <c r="J408" t="s">
        <v>1193</v>
      </c>
      <c r="K408">
        <v>21</v>
      </c>
      <c r="L408" t="str">
        <f>IF(Table1[[#This Row],[Sales_Volume]]&gt;Table1[[#This Row],[Stock_Quantity]],"Pending","Fulfilled")</f>
        <v>Fulfilled</v>
      </c>
      <c r="M408">
        <v>2</v>
      </c>
      <c r="N408">
        <v>42</v>
      </c>
      <c r="O408" t="str">
        <f>IF(Table1[[#This Row],[Stock_Quantity]]&lt;=Table1[[#This Row],[Reorder_Level]],"Reoeder required","Sufficient")</f>
        <v>Sufficient</v>
      </c>
      <c r="P408" t="str">
        <f>IF(Table1[[#This Row],[Stock_Quantity]]=0,"Out of stock","Available")</f>
        <v>Available</v>
      </c>
    </row>
    <row r="409" spans="1:16" x14ac:dyDescent="0.3">
      <c r="A409" t="s">
        <v>1194</v>
      </c>
      <c r="B409" t="s">
        <v>549</v>
      </c>
      <c r="C409" t="s">
        <v>45</v>
      </c>
      <c r="D409" t="s">
        <v>1195</v>
      </c>
      <c r="E409">
        <v>21</v>
      </c>
      <c r="F409">
        <v>28</v>
      </c>
      <c r="G409">
        <v>72</v>
      </c>
      <c r="H409" s="1">
        <v>9</v>
      </c>
      <c r="I409" s="2">
        <v>45350</v>
      </c>
      <c r="J409" t="s">
        <v>1196</v>
      </c>
      <c r="K409">
        <v>69</v>
      </c>
      <c r="L409" t="str">
        <f>IF(Table1[[#This Row],[Sales_Volume]]&gt;Table1[[#This Row],[Stock_Quantity]],"Pending","Fulfilled")</f>
        <v>Pending</v>
      </c>
      <c r="M409">
        <v>5</v>
      </c>
      <c r="N409">
        <v>51</v>
      </c>
      <c r="O409" t="str">
        <f>IF(Table1[[#This Row],[Stock_Quantity]]&lt;=Table1[[#This Row],[Reorder_Level]],"Reoeder required","Sufficient")</f>
        <v>Reoeder required</v>
      </c>
      <c r="P409" t="str">
        <f>IF(Table1[[#This Row],[Stock_Quantity]]=0,"Out of stock","Available")</f>
        <v>Available</v>
      </c>
    </row>
    <row r="410" spans="1:16" x14ac:dyDescent="0.3">
      <c r="A410" t="s">
        <v>1197</v>
      </c>
      <c r="B410" t="s">
        <v>305</v>
      </c>
      <c r="C410" t="s">
        <v>65</v>
      </c>
      <c r="D410" t="s">
        <v>687</v>
      </c>
      <c r="E410">
        <v>22</v>
      </c>
      <c r="F410">
        <v>24</v>
      </c>
      <c r="G410">
        <v>94</v>
      </c>
      <c r="H410" s="1">
        <v>6</v>
      </c>
      <c r="I410" s="2">
        <v>45494</v>
      </c>
      <c r="J410" t="s">
        <v>1198</v>
      </c>
      <c r="K410">
        <v>47</v>
      </c>
      <c r="L410" t="str">
        <f>IF(Table1[[#This Row],[Sales_Volume]]&gt;Table1[[#This Row],[Stock_Quantity]],"Pending","Fulfilled")</f>
        <v>Pending</v>
      </c>
      <c r="M410">
        <v>5</v>
      </c>
      <c r="N410">
        <v>71</v>
      </c>
      <c r="O410" t="str">
        <f>IF(Table1[[#This Row],[Stock_Quantity]]&lt;=Table1[[#This Row],[Reorder_Level]],"Reoeder required","Sufficient")</f>
        <v>Reoeder required</v>
      </c>
      <c r="P410" t="str">
        <f>IF(Table1[[#This Row],[Stock_Quantity]]=0,"Out of stock","Available")</f>
        <v>Available</v>
      </c>
    </row>
    <row r="411" spans="1:16" x14ac:dyDescent="0.3">
      <c r="A411" t="s">
        <v>1199</v>
      </c>
      <c r="B411" t="s">
        <v>252</v>
      </c>
      <c r="C411" t="s">
        <v>45</v>
      </c>
      <c r="D411" t="s">
        <v>470</v>
      </c>
      <c r="E411">
        <v>91</v>
      </c>
      <c r="F411">
        <v>14</v>
      </c>
      <c r="G411">
        <v>99</v>
      </c>
      <c r="H411" s="1">
        <v>6</v>
      </c>
      <c r="I411" s="2">
        <v>45682</v>
      </c>
      <c r="J411" t="s">
        <v>1200</v>
      </c>
      <c r="K411">
        <v>50</v>
      </c>
      <c r="L411" t="str">
        <f>IF(Table1[[#This Row],[Sales_Volume]]&gt;Table1[[#This Row],[Stock_Quantity]],"Pending","Fulfilled")</f>
        <v>Fulfilled</v>
      </c>
      <c r="M411">
        <v>6</v>
      </c>
      <c r="N411">
        <v>5</v>
      </c>
      <c r="O411" t="str">
        <f>IF(Table1[[#This Row],[Stock_Quantity]]&lt;=Table1[[#This Row],[Reorder_Level]],"Reoeder required","Sufficient")</f>
        <v>Sufficient</v>
      </c>
      <c r="P411" t="str">
        <f>IF(Table1[[#This Row],[Stock_Quantity]]=0,"Out of stock","Available")</f>
        <v>Available</v>
      </c>
    </row>
    <row r="412" spans="1:16" x14ac:dyDescent="0.3">
      <c r="A412" t="s">
        <v>1201</v>
      </c>
      <c r="B412" t="s">
        <v>187</v>
      </c>
      <c r="C412" t="s">
        <v>65</v>
      </c>
      <c r="D412" t="s">
        <v>1188</v>
      </c>
      <c r="E412">
        <v>85</v>
      </c>
      <c r="F412">
        <v>57</v>
      </c>
      <c r="G412">
        <v>25</v>
      </c>
      <c r="H412" s="1">
        <v>3.5</v>
      </c>
      <c r="I412" s="2">
        <v>45561</v>
      </c>
      <c r="J412" t="s">
        <v>1202</v>
      </c>
      <c r="K412">
        <v>30</v>
      </c>
      <c r="L412" t="str">
        <f>IF(Table1[[#This Row],[Sales_Volume]]&gt;Table1[[#This Row],[Stock_Quantity]],"Pending","Fulfilled")</f>
        <v>Fulfilled</v>
      </c>
      <c r="M412">
        <v>4</v>
      </c>
      <c r="N412">
        <v>42</v>
      </c>
      <c r="O412" t="str">
        <f>IF(Table1[[#This Row],[Stock_Quantity]]&lt;=Table1[[#This Row],[Reorder_Level]],"Reoeder required","Sufficient")</f>
        <v>Sufficient</v>
      </c>
      <c r="P412" t="str">
        <f>IF(Table1[[#This Row],[Stock_Quantity]]=0,"Out of stock","Available")</f>
        <v>Available</v>
      </c>
    </row>
    <row r="413" spans="1:16" x14ac:dyDescent="0.3">
      <c r="A413" t="s">
        <v>1203</v>
      </c>
      <c r="B413" t="s">
        <v>309</v>
      </c>
      <c r="C413" t="s">
        <v>31</v>
      </c>
      <c r="D413" t="s">
        <v>1204</v>
      </c>
      <c r="E413">
        <v>12</v>
      </c>
      <c r="F413">
        <v>28</v>
      </c>
      <c r="G413">
        <v>11</v>
      </c>
      <c r="H413" s="1">
        <v>3</v>
      </c>
      <c r="I413" s="2">
        <v>45662</v>
      </c>
      <c r="J413" t="s">
        <v>1205</v>
      </c>
      <c r="K413">
        <v>46</v>
      </c>
      <c r="L413" t="str">
        <f>IF(Table1[[#This Row],[Sales_Volume]]&gt;Table1[[#This Row],[Stock_Quantity]],"Pending","Fulfilled")</f>
        <v>Pending</v>
      </c>
      <c r="M413">
        <v>2</v>
      </c>
      <c r="N413">
        <v>88</v>
      </c>
      <c r="O413" t="str">
        <f>IF(Table1[[#This Row],[Stock_Quantity]]&lt;=Table1[[#This Row],[Reorder_Level]],"Reoeder required","Sufficient")</f>
        <v>Reoeder required</v>
      </c>
      <c r="P413" t="str">
        <f>IF(Table1[[#This Row],[Stock_Quantity]]=0,"Out of stock","Available")</f>
        <v>Available</v>
      </c>
    </row>
    <row r="414" spans="1:16" x14ac:dyDescent="0.3">
      <c r="A414" t="s">
        <v>1206</v>
      </c>
      <c r="B414" t="s">
        <v>418</v>
      </c>
      <c r="C414" t="s">
        <v>31</v>
      </c>
      <c r="D414" t="s">
        <v>1207</v>
      </c>
      <c r="E414">
        <v>43</v>
      </c>
      <c r="F414">
        <v>65</v>
      </c>
      <c r="G414">
        <v>66</v>
      </c>
      <c r="H414" s="1">
        <v>6</v>
      </c>
      <c r="I414" s="2">
        <v>45538</v>
      </c>
      <c r="J414" t="s">
        <v>1208</v>
      </c>
      <c r="K414">
        <v>78</v>
      </c>
      <c r="L414" t="str">
        <f>IF(Table1[[#This Row],[Sales_Volume]]&gt;Table1[[#This Row],[Stock_Quantity]],"Pending","Fulfilled")</f>
        <v>Pending</v>
      </c>
      <c r="M414">
        <v>4</v>
      </c>
      <c r="N414">
        <v>73</v>
      </c>
      <c r="O414" t="str">
        <f>IF(Table1[[#This Row],[Stock_Quantity]]&lt;=Table1[[#This Row],[Reorder_Level]],"Reoeder required","Sufficient")</f>
        <v>Reoeder required</v>
      </c>
      <c r="P414" t="str">
        <f>IF(Table1[[#This Row],[Stock_Quantity]]=0,"Out of stock","Available")</f>
        <v>Available</v>
      </c>
    </row>
    <row r="415" spans="1:16" x14ac:dyDescent="0.3">
      <c r="A415" t="s">
        <v>1209</v>
      </c>
      <c r="B415" t="s">
        <v>914</v>
      </c>
      <c r="C415" t="s">
        <v>45</v>
      </c>
      <c r="D415" t="s">
        <v>772</v>
      </c>
      <c r="E415">
        <v>92</v>
      </c>
      <c r="F415">
        <v>92</v>
      </c>
      <c r="G415">
        <v>28</v>
      </c>
      <c r="H415" s="1">
        <v>1.75</v>
      </c>
      <c r="I415" s="2">
        <v>45545</v>
      </c>
      <c r="J415" t="s">
        <v>1210</v>
      </c>
      <c r="K415">
        <v>50</v>
      </c>
      <c r="L415" t="str">
        <f>IF(Table1[[#This Row],[Sales_Volume]]&gt;Table1[[#This Row],[Stock_Quantity]],"Pending","Fulfilled")</f>
        <v>Fulfilled</v>
      </c>
      <c r="M415">
        <v>6</v>
      </c>
      <c r="N415">
        <v>67</v>
      </c>
      <c r="O415" t="str">
        <f>IF(Table1[[#This Row],[Stock_Quantity]]&lt;=Table1[[#This Row],[Reorder_Level]],"Reoeder required","Sufficient")</f>
        <v>Reoeder required</v>
      </c>
      <c r="P415" t="str">
        <f>IF(Table1[[#This Row],[Stock_Quantity]]=0,"Out of stock","Available")</f>
        <v>Available</v>
      </c>
    </row>
    <row r="416" spans="1:16" x14ac:dyDescent="0.3">
      <c r="A416" t="s">
        <v>1211</v>
      </c>
      <c r="B416" t="s">
        <v>595</v>
      </c>
      <c r="C416" t="s">
        <v>31</v>
      </c>
      <c r="D416" t="s">
        <v>1212</v>
      </c>
      <c r="E416">
        <v>23</v>
      </c>
      <c r="F416">
        <v>85</v>
      </c>
      <c r="G416">
        <v>94</v>
      </c>
      <c r="H416" s="1">
        <v>3</v>
      </c>
      <c r="I416" s="2">
        <v>45496</v>
      </c>
      <c r="J416" t="s">
        <v>1213</v>
      </c>
      <c r="K416">
        <v>92</v>
      </c>
      <c r="L416" t="str">
        <f>IF(Table1[[#This Row],[Sales_Volume]]&gt;Table1[[#This Row],[Stock_Quantity]],"Pending","Fulfilled")</f>
        <v>Pending</v>
      </c>
      <c r="M416">
        <v>2</v>
      </c>
      <c r="N416">
        <v>72</v>
      </c>
      <c r="O416" t="str">
        <f>IF(Table1[[#This Row],[Stock_Quantity]]&lt;=Table1[[#This Row],[Reorder_Level]],"Reoeder required","Sufficient")</f>
        <v>Reoeder required</v>
      </c>
      <c r="P416" t="str">
        <f>IF(Table1[[#This Row],[Stock_Quantity]]=0,"Out of stock","Available")</f>
        <v>Available</v>
      </c>
    </row>
    <row r="417" spans="1:16" x14ac:dyDescent="0.3">
      <c r="A417" t="s">
        <v>1214</v>
      </c>
      <c r="B417" t="s">
        <v>53</v>
      </c>
      <c r="C417" t="s">
        <v>45</v>
      </c>
      <c r="D417" t="s">
        <v>1215</v>
      </c>
      <c r="E417">
        <v>77</v>
      </c>
      <c r="F417">
        <v>1</v>
      </c>
      <c r="G417">
        <v>41</v>
      </c>
      <c r="H417" s="1">
        <v>1</v>
      </c>
      <c r="I417" s="2">
        <v>45693</v>
      </c>
      <c r="J417" t="s">
        <v>1216</v>
      </c>
      <c r="K417">
        <v>58</v>
      </c>
      <c r="L417" t="str">
        <f>IF(Table1[[#This Row],[Sales_Volume]]&gt;Table1[[#This Row],[Stock_Quantity]],"Pending","Fulfilled")</f>
        <v>Fulfilled</v>
      </c>
      <c r="M417">
        <v>3</v>
      </c>
      <c r="N417">
        <v>55</v>
      </c>
      <c r="O417" t="str">
        <f>IF(Table1[[#This Row],[Stock_Quantity]]&lt;=Table1[[#This Row],[Reorder_Level]],"Reoeder required","Sufficient")</f>
        <v>Sufficient</v>
      </c>
      <c r="P417" t="str">
        <f>IF(Table1[[#This Row],[Stock_Quantity]]=0,"Out of stock","Available")</f>
        <v>Available</v>
      </c>
    </row>
    <row r="418" spans="1:16" x14ac:dyDescent="0.3">
      <c r="A418" t="s">
        <v>1217</v>
      </c>
      <c r="B418" t="s">
        <v>1137</v>
      </c>
      <c r="C418" t="s">
        <v>31</v>
      </c>
      <c r="D418" t="s">
        <v>577</v>
      </c>
      <c r="E418">
        <v>65</v>
      </c>
      <c r="F418">
        <v>10</v>
      </c>
      <c r="G418">
        <v>81</v>
      </c>
      <c r="H418" s="1">
        <v>2</v>
      </c>
      <c r="I418" s="2">
        <v>45700</v>
      </c>
      <c r="J418" t="s">
        <v>1218</v>
      </c>
      <c r="K418">
        <v>71</v>
      </c>
      <c r="L418" t="str">
        <f>IF(Table1[[#This Row],[Sales_Volume]]&gt;Table1[[#This Row],[Stock_Quantity]],"Pending","Fulfilled")</f>
        <v>Pending</v>
      </c>
      <c r="M418">
        <v>4</v>
      </c>
      <c r="N418">
        <v>61</v>
      </c>
      <c r="O418" t="str">
        <f>IF(Table1[[#This Row],[Stock_Quantity]]&lt;=Table1[[#This Row],[Reorder_Level]],"Reoeder required","Sufficient")</f>
        <v>Sufficient</v>
      </c>
      <c r="P418" t="str">
        <f>IF(Table1[[#This Row],[Stock_Quantity]]=0,"Out of stock","Available")</f>
        <v>Available</v>
      </c>
    </row>
    <row r="419" spans="1:16" x14ac:dyDescent="0.3">
      <c r="A419" t="s">
        <v>1219</v>
      </c>
      <c r="B419" t="s">
        <v>412</v>
      </c>
      <c r="C419" t="s">
        <v>31</v>
      </c>
      <c r="D419" t="s">
        <v>847</v>
      </c>
      <c r="E419">
        <v>82</v>
      </c>
      <c r="F419">
        <v>29</v>
      </c>
      <c r="G419">
        <v>62</v>
      </c>
      <c r="H419" s="1">
        <v>15.31</v>
      </c>
      <c r="I419" s="2">
        <v>45369</v>
      </c>
      <c r="J419" t="s">
        <v>1220</v>
      </c>
      <c r="K419">
        <v>77</v>
      </c>
      <c r="L419" t="str">
        <f>IF(Table1[[#This Row],[Sales_Volume]]&gt;Table1[[#This Row],[Stock_Quantity]],"Pending","Fulfilled")</f>
        <v>Fulfilled</v>
      </c>
      <c r="M419">
        <v>8</v>
      </c>
      <c r="N419">
        <v>27</v>
      </c>
      <c r="O419" t="str">
        <f>IF(Table1[[#This Row],[Stock_Quantity]]&lt;=Table1[[#This Row],[Reorder_Level]],"Reoeder required","Sufficient")</f>
        <v>Sufficient</v>
      </c>
      <c r="P419" t="str">
        <f>IF(Table1[[#This Row],[Stock_Quantity]]=0,"Out of stock","Available")</f>
        <v>Available</v>
      </c>
    </row>
    <row r="420" spans="1:16" x14ac:dyDescent="0.3">
      <c r="A420" t="s">
        <v>1221</v>
      </c>
      <c r="B420" t="s">
        <v>84</v>
      </c>
      <c r="C420" t="s">
        <v>45</v>
      </c>
      <c r="D420" t="s">
        <v>787</v>
      </c>
      <c r="E420">
        <v>20</v>
      </c>
      <c r="F420">
        <v>17</v>
      </c>
      <c r="G420">
        <v>71</v>
      </c>
      <c r="H420" s="1">
        <v>8</v>
      </c>
      <c r="I420" s="2">
        <v>45664</v>
      </c>
      <c r="J420" t="s">
        <v>1222</v>
      </c>
      <c r="K420">
        <v>50</v>
      </c>
      <c r="L420" t="str">
        <f>IF(Table1[[#This Row],[Sales_Volume]]&gt;Table1[[#This Row],[Stock_Quantity]],"Pending","Fulfilled")</f>
        <v>Pending</v>
      </c>
      <c r="M420">
        <v>1</v>
      </c>
      <c r="N420">
        <v>65</v>
      </c>
      <c r="O420" t="str">
        <f>IF(Table1[[#This Row],[Stock_Quantity]]&lt;=Table1[[#This Row],[Reorder_Level]],"Reoeder required","Sufficient")</f>
        <v>Sufficient</v>
      </c>
      <c r="P420" t="str">
        <f>IF(Table1[[#This Row],[Stock_Quantity]]=0,"Out of stock","Available")</f>
        <v>Available</v>
      </c>
    </row>
    <row r="421" spans="1:16" x14ac:dyDescent="0.3">
      <c r="A421" t="s">
        <v>1223</v>
      </c>
      <c r="B421" t="s">
        <v>549</v>
      </c>
      <c r="C421" t="s">
        <v>45</v>
      </c>
      <c r="D421" t="s">
        <v>54</v>
      </c>
      <c r="E421">
        <v>31</v>
      </c>
      <c r="F421">
        <v>65</v>
      </c>
      <c r="G421">
        <v>94</v>
      </c>
      <c r="H421" s="1">
        <v>9</v>
      </c>
      <c r="I421" s="2">
        <v>45582</v>
      </c>
      <c r="J421" t="s">
        <v>1224</v>
      </c>
      <c r="K421">
        <v>63</v>
      </c>
      <c r="L421" t="str">
        <f>IF(Table1[[#This Row],[Sales_Volume]]&gt;Table1[[#This Row],[Stock_Quantity]],"Pending","Fulfilled")</f>
        <v>Pending</v>
      </c>
      <c r="M421">
        <v>6</v>
      </c>
      <c r="N421">
        <v>7</v>
      </c>
      <c r="O421" t="str">
        <f>IF(Table1[[#This Row],[Stock_Quantity]]&lt;=Table1[[#This Row],[Reorder_Level]],"Reoeder required","Sufficient")</f>
        <v>Reoeder required</v>
      </c>
      <c r="P421" t="str">
        <f>IF(Table1[[#This Row],[Stock_Quantity]]=0,"Out of stock","Available")</f>
        <v>Available</v>
      </c>
    </row>
    <row r="422" spans="1:16" x14ac:dyDescent="0.3">
      <c r="A422" t="s">
        <v>1225</v>
      </c>
      <c r="B422" t="s">
        <v>183</v>
      </c>
      <c r="C422" t="s">
        <v>45</v>
      </c>
      <c r="D422" t="s">
        <v>1226</v>
      </c>
      <c r="E422">
        <v>36</v>
      </c>
      <c r="F422">
        <v>75</v>
      </c>
      <c r="G422">
        <v>35</v>
      </c>
      <c r="H422" s="1">
        <v>2.9</v>
      </c>
      <c r="I422" s="2">
        <v>45460</v>
      </c>
      <c r="J422" t="s">
        <v>1227</v>
      </c>
      <c r="K422">
        <v>26</v>
      </c>
      <c r="L422" t="str">
        <f>IF(Table1[[#This Row],[Sales_Volume]]&gt;Table1[[#This Row],[Stock_Quantity]],"Pending","Fulfilled")</f>
        <v>Fulfilled</v>
      </c>
      <c r="M422">
        <v>2</v>
      </c>
      <c r="N422">
        <v>41</v>
      </c>
      <c r="O422" t="str">
        <f>IF(Table1[[#This Row],[Stock_Quantity]]&lt;=Table1[[#This Row],[Reorder_Level]],"Reoeder required","Sufficient")</f>
        <v>Reoeder required</v>
      </c>
      <c r="P422" t="str">
        <f>IF(Table1[[#This Row],[Stock_Quantity]]=0,"Out of stock","Available")</f>
        <v>Available</v>
      </c>
    </row>
    <row r="423" spans="1:16" x14ac:dyDescent="0.3">
      <c r="A423" t="s">
        <v>1228</v>
      </c>
      <c r="B423" t="s">
        <v>243</v>
      </c>
      <c r="C423" t="s">
        <v>18</v>
      </c>
      <c r="D423" t="s">
        <v>306</v>
      </c>
      <c r="E423">
        <v>59</v>
      </c>
      <c r="F423">
        <v>20</v>
      </c>
      <c r="G423">
        <v>17</v>
      </c>
      <c r="H423" s="1">
        <v>5</v>
      </c>
      <c r="I423" s="2">
        <v>45473</v>
      </c>
      <c r="J423" t="s">
        <v>1229</v>
      </c>
      <c r="K423">
        <v>45</v>
      </c>
      <c r="L423" t="str">
        <f>IF(Table1[[#This Row],[Sales_Volume]]&gt;Table1[[#This Row],[Stock_Quantity]],"Pending","Fulfilled")</f>
        <v>Fulfilled</v>
      </c>
      <c r="M423">
        <v>5</v>
      </c>
      <c r="N423">
        <v>15</v>
      </c>
      <c r="O423" t="str">
        <f>IF(Table1[[#This Row],[Stock_Quantity]]&lt;=Table1[[#This Row],[Reorder_Level]],"Reoeder required","Sufficient")</f>
        <v>Sufficient</v>
      </c>
      <c r="P423" t="str">
        <f>IF(Table1[[#This Row],[Stock_Quantity]]=0,"Out of stock","Available")</f>
        <v>Available</v>
      </c>
    </row>
    <row r="424" spans="1:16" x14ac:dyDescent="0.3">
      <c r="A424" t="s">
        <v>1230</v>
      </c>
      <c r="B424" t="s">
        <v>26</v>
      </c>
      <c r="C424" t="s">
        <v>13</v>
      </c>
      <c r="D424" t="s">
        <v>205</v>
      </c>
      <c r="E424">
        <v>11</v>
      </c>
      <c r="F424">
        <v>10</v>
      </c>
      <c r="G424">
        <v>80</v>
      </c>
      <c r="H424" s="1">
        <v>1.5</v>
      </c>
      <c r="I424" s="2">
        <v>45562</v>
      </c>
      <c r="J424" t="s">
        <v>1231</v>
      </c>
      <c r="K424">
        <v>48</v>
      </c>
      <c r="L424" t="str">
        <f>IF(Table1[[#This Row],[Sales_Volume]]&gt;Table1[[#This Row],[Stock_Quantity]],"Pending","Fulfilled")</f>
        <v>Pending</v>
      </c>
      <c r="M424">
        <v>4</v>
      </c>
      <c r="N424">
        <v>65</v>
      </c>
      <c r="O424" t="str">
        <f>IF(Table1[[#This Row],[Stock_Quantity]]&lt;=Table1[[#This Row],[Reorder_Level]],"Reoeder required","Sufficient")</f>
        <v>Sufficient</v>
      </c>
      <c r="P424" t="str">
        <f>IF(Table1[[#This Row],[Stock_Quantity]]=0,"Out of stock","Available")</f>
        <v>Available</v>
      </c>
    </row>
    <row r="425" spans="1:16" x14ac:dyDescent="0.3">
      <c r="A425" t="s">
        <v>1232</v>
      </c>
      <c r="B425" t="s">
        <v>180</v>
      </c>
      <c r="C425" t="s">
        <v>18</v>
      </c>
      <c r="D425" t="s">
        <v>1233</v>
      </c>
      <c r="E425">
        <v>24</v>
      </c>
      <c r="F425">
        <v>77</v>
      </c>
      <c r="G425">
        <v>32</v>
      </c>
      <c r="H425" s="1">
        <v>15.5</v>
      </c>
      <c r="I425" s="2">
        <v>45453</v>
      </c>
      <c r="J425" t="s">
        <v>1234</v>
      </c>
      <c r="K425">
        <v>80</v>
      </c>
      <c r="L425" t="str">
        <f>IF(Table1[[#This Row],[Sales_Volume]]&gt;Table1[[#This Row],[Stock_Quantity]],"Pending","Fulfilled")</f>
        <v>Pending</v>
      </c>
      <c r="M425">
        <v>6</v>
      </c>
      <c r="N425">
        <v>42</v>
      </c>
      <c r="O425" t="str">
        <f>IF(Table1[[#This Row],[Stock_Quantity]]&lt;=Table1[[#This Row],[Reorder_Level]],"Reoeder required","Sufficient")</f>
        <v>Reoeder required</v>
      </c>
      <c r="P425" t="str">
        <f>IF(Table1[[#This Row],[Stock_Quantity]]=0,"Out of stock","Available")</f>
        <v>Available</v>
      </c>
    </row>
    <row r="426" spans="1:16" x14ac:dyDescent="0.3">
      <c r="A426" t="s">
        <v>1235</v>
      </c>
      <c r="B426" t="s">
        <v>150</v>
      </c>
      <c r="C426" t="s">
        <v>99</v>
      </c>
      <c r="D426" t="s">
        <v>1236</v>
      </c>
      <c r="E426">
        <v>75</v>
      </c>
      <c r="F426">
        <v>80</v>
      </c>
      <c r="G426">
        <v>87</v>
      </c>
      <c r="H426" s="1">
        <v>9</v>
      </c>
      <c r="I426" s="2">
        <v>45568</v>
      </c>
      <c r="J426" t="s">
        <v>1237</v>
      </c>
      <c r="K426">
        <v>49</v>
      </c>
      <c r="L426" t="str">
        <f>IF(Table1[[#This Row],[Sales_Volume]]&gt;Table1[[#This Row],[Stock_Quantity]],"Pending","Fulfilled")</f>
        <v>Fulfilled</v>
      </c>
      <c r="M426">
        <v>6</v>
      </c>
      <c r="N426">
        <v>40</v>
      </c>
      <c r="O426" t="str">
        <f>IF(Table1[[#This Row],[Stock_Quantity]]&lt;=Table1[[#This Row],[Reorder_Level]],"Reoeder required","Sufficient")</f>
        <v>Reoeder required</v>
      </c>
      <c r="P426" t="str">
        <f>IF(Table1[[#This Row],[Stock_Quantity]]=0,"Out of stock","Available")</f>
        <v>Available</v>
      </c>
    </row>
    <row r="427" spans="1:16" x14ac:dyDescent="0.3">
      <c r="A427" t="s">
        <v>1238</v>
      </c>
      <c r="B427" t="s">
        <v>180</v>
      </c>
      <c r="C427" t="s">
        <v>18</v>
      </c>
      <c r="D427" t="s">
        <v>77</v>
      </c>
      <c r="E427">
        <v>11</v>
      </c>
      <c r="F427">
        <v>72</v>
      </c>
      <c r="G427">
        <v>5</v>
      </c>
      <c r="H427" s="1">
        <v>15</v>
      </c>
      <c r="I427" s="2">
        <v>45576</v>
      </c>
      <c r="J427" t="s">
        <v>1239</v>
      </c>
      <c r="K427">
        <v>89</v>
      </c>
      <c r="L427" t="str">
        <f>IF(Table1[[#This Row],[Sales_Volume]]&gt;Table1[[#This Row],[Stock_Quantity]],"Pending","Fulfilled")</f>
        <v>Pending</v>
      </c>
      <c r="M427">
        <v>4</v>
      </c>
      <c r="N427">
        <v>4</v>
      </c>
      <c r="O427" t="str">
        <f>IF(Table1[[#This Row],[Stock_Quantity]]&lt;=Table1[[#This Row],[Reorder_Level]],"Reoeder required","Sufficient")</f>
        <v>Reoeder required</v>
      </c>
      <c r="P427" t="str">
        <f>IF(Table1[[#This Row],[Stock_Quantity]]=0,"Out of stock","Available")</f>
        <v>Available</v>
      </c>
    </row>
    <row r="428" spans="1:16" x14ac:dyDescent="0.3">
      <c r="A428" t="s">
        <v>1240</v>
      </c>
      <c r="B428" t="s">
        <v>610</v>
      </c>
      <c r="C428" t="s">
        <v>99</v>
      </c>
      <c r="D428" t="s">
        <v>1071</v>
      </c>
      <c r="E428">
        <v>60</v>
      </c>
      <c r="F428">
        <v>64</v>
      </c>
      <c r="G428">
        <v>36</v>
      </c>
      <c r="H428" s="1">
        <v>10</v>
      </c>
      <c r="I428" s="2">
        <v>45347</v>
      </c>
      <c r="J428" t="s">
        <v>1241</v>
      </c>
      <c r="K428">
        <v>34</v>
      </c>
      <c r="L428" t="str">
        <f>IF(Table1[[#This Row],[Sales_Volume]]&gt;Table1[[#This Row],[Stock_Quantity]],"Pending","Fulfilled")</f>
        <v>Fulfilled</v>
      </c>
      <c r="M428">
        <v>7</v>
      </c>
      <c r="N428">
        <v>48</v>
      </c>
      <c r="O428" t="str">
        <f>IF(Table1[[#This Row],[Stock_Quantity]]&lt;=Table1[[#This Row],[Reorder_Level]],"Reoeder required","Sufficient")</f>
        <v>Reoeder required</v>
      </c>
      <c r="P428" t="str">
        <f>IF(Table1[[#This Row],[Stock_Quantity]]=0,"Out of stock","Available")</f>
        <v>Available</v>
      </c>
    </row>
    <row r="429" spans="1:16" x14ac:dyDescent="0.3">
      <c r="A429" t="s">
        <v>1242</v>
      </c>
      <c r="B429" t="s">
        <v>176</v>
      </c>
      <c r="C429" t="s">
        <v>31</v>
      </c>
      <c r="D429" t="s">
        <v>902</v>
      </c>
      <c r="E429">
        <v>91</v>
      </c>
      <c r="F429">
        <v>6</v>
      </c>
      <c r="G429">
        <v>37</v>
      </c>
      <c r="H429" s="1">
        <v>2.4</v>
      </c>
      <c r="I429" s="2">
        <v>45511</v>
      </c>
      <c r="J429" t="s">
        <v>1243</v>
      </c>
      <c r="K429">
        <v>38</v>
      </c>
      <c r="L429" t="str">
        <f>IF(Table1[[#This Row],[Sales_Volume]]&gt;Table1[[#This Row],[Stock_Quantity]],"Pending","Fulfilled")</f>
        <v>Fulfilled</v>
      </c>
      <c r="M429">
        <v>2</v>
      </c>
      <c r="N429">
        <v>70</v>
      </c>
      <c r="O429" t="str">
        <f>IF(Table1[[#This Row],[Stock_Quantity]]&lt;=Table1[[#This Row],[Reorder_Level]],"Reoeder required","Sufficient")</f>
        <v>Sufficient</v>
      </c>
      <c r="P429" t="str">
        <f>IF(Table1[[#This Row],[Stock_Quantity]]=0,"Out of stock","Available")</f>
        <v>Available</v>
      </c>
    </row>
    <row r="430" spans="1:16" x14ac:dyDescent="0.3">
      <c r="A430" t="s">
        <v>1244</v>
      </c>
      <c r="B430" t="s">
        <v>44</v>
      </c>
      <c r="C430" t="s">
        <v>45</v>
      </c>
      <c r="D430" t="s">
        <v>1245</v>
      </c>
      <c r="E430">
        <v>43</v>
      </c>
      <c r="F430">
        <v>78</v>
      </c>
      <c r="G430">
        <v>85</v>
      </c>
      <c r="H430" s="1">
        <v>2.5</v>
      </c>
      <c r="I430" s="2">
        <v>45534</v>
      </c>
      <c r="J430" t="s">
        <v>1246</v>
      </c>
      <c r="K430">
        <v>48</v>
      </c>
      <c r="L430" t="str">
        <f>IF(Table1[[#This Row],[Sales_Volume]]&gt;Table1[[#This Row],[Stock_Quantity]],"Pending","Fulfilled")</f>
        <v>Pending</v>
      </c>
      <c r="M430">
        <v>5</v>
      </c>
      <c r="N430">
        <v>98</v>
      </c>
      <c r="O430" t="str">
        <f>IF(Table1[[#This Row],[Stock_Quantity]]&lt;=Table1[[#This Row],[Reorder_Level]],"Reoeder required","Sufficient")</f>
        <v>Reoeder required</v>
      </c>
      <c r="P430" t="str">
        <f>IF(Table1[[#This Row],[Stock_Quantity]]=0,"Out of stock","Available")</f>
        <v>Available</v>
      </c>
    </row>
    <row r="431" spans="1:16" x14ac:dyDescent="0.3">
      <c r="A431" t="s">
        <v>1247</v>
      </c>
      <c r="B431" t="s">
        <v>80</v>
      </c>
      <c r="C431" t="s">
        <v>13</v>
      </c>
      <c r="D431" t="s">
        <v>550</v>
      </c>
      <c r="E431">
        <v>25</v>
      </c>
      <c r="F431">
        <v>60</v>
      </c>
      <c r="G431">
        <v>36</v>
      </c>
      <c r="H431" s="1">
        <v>1.5</v>
      </c>
      <c r="I431" s="2">
        <v>45530</v>
      </c>
      <c r="J431" t="s">
        <v>1248</v>
      </c>
      <c r="K431">
        <v>31</v>
      </c>
      <c r="L431" t="str">
        <f>IF(Table1[[#This Row],[Sales_Volume]]&gt;Table1[[#This Row],[Stock_Quantity]],"Pending","Fulfilled")</f>
        <v>Pending</v>
      </c>
      <c r="M431">
        <v>2</v>
      </c>
      <c r="N431">
        <v>41</v>
      </c>
      <c r="O431" t="str">
        <f>IF(Table1[[#This Row],[Stock_Quantity]]&lt;=Table1[[#This Row],[Reorder_Level]],"Reoeder required","Sufficient")</f>
        <v>Reoeder required</v>
      </c>
      <c r="P431" t="str">
        <f>IF(Table1[[#This Row],[Stock_Quantity]]=0,"Out of stock","Available")</f>
        <v>Available</v>
      </c>
    </row>
    <row r="432" spans="1:16" x14ac:dyDescent="0.3">
      <c r="A432" t="s">
        <v>1249</v>
      </c>
      <c r="B432" t="s">
        <v>111</v>
      </c>
      <c r="C432" t="s">
        <v>45</v>
      </c>
      <c r="D432" t="s">
        <v>984</v>
      </c>
      <c r="E432">
        <v>96</v>
      </c>
      <c r="F432">
        <v>9</v>
      </c>
      <c r="G432">
        <v>57</v>
      </c>
      <c r="H432" s="1">
        <v>11.8</v>
      </c>
      <c r="I432" s="2">
        <v>45459</v>
      </c>
      <c r="J432" t="s">
        <v>1250</v>
      </c>
      <c r="K432">
        <v>78</v>
      </c>
      <c r="L432" t="str">
        <f>IF(Table1[[#This Row],[Sales_Volume]]&gt;Table1[[#This Row],[Stock_Quantity]],"Pending","Fulfilled")</f>
        <v>Fulfilled</v>
      </c>
      <c r="M432">
        <v>5</v>
      </c>
      <c r="N432">
        <v>67</v>
      </c>
      <c r="O432" t="str">
        <f>IF(Table1[[#This Row],[Stock_Quantity]]&lt;=Table1[[#This Row],[Reorder_Level]],"Reoeder required","Sufficient")</f>
        <v>Sufficient</v>
      </c>
      <c r="P432" t="str">
        <f>IF(Table1[[#This Row],[Stock_Quantity]]=0,"Out of stock","Available")</f>
        <v>Available</v>
      </c>
    </row>
    <row r="433" spans="1:16" x14ac:dyDescent="0.3">
      <c r="A433" t="s">
        <v>1251</v>
      </c>
      <c r="B433" t="s">
        <v>786</v>
      </c>
      <c r="C433" t="s">
        <v>99</v>
      </c>
      <c r="D433" t="s">
        <v>1252</v>
      </c>
      <c r="E433">
        <v>30</v>
      </c>
      <c r="F433">
        <v>29</v>
      </c>
      <c r="G433">
        <v>70</v>
      </c>
      <c r="H433" s="1">
        <v>7.5</v>
      </c>
      <c r="I433" s="2">
        <v>45578</v>
      </c>
      <c r="J433" t="s">
        <v>1253</v>
      </c>
      <c r="K433">
        <v>80</v>
      </c>
      <c r="L433" t="str">
        <f>IF(Table1[[#This Row],[Sales_Volume]]&gt;Table1[[#This Row],[Stock_Quantity]],"Pending","Fulfilled")</f>
        <v>Pending</v>
      </c>
      <c r="M433">
        <v>6</v>
      </c>
      <c r="N433">
        <v>43</v>
      </c>
      <c r="O433" t="str">
        <f>IF(Table1[[#This Row],[Stock_Quantity]]&lt;=Table1[[#This Row],[Reorder_Level]],"Reoeder required","Sufficient")</f>
        <v>Sufficient</v>
      </c>
      <c r="P433" t="str">
        <f>IF(Table1[[#This Row],[Stock_Quantity]]=0,"Out of stock","Available")</f>
        <v>Available</v>
      </c>
    </row>
    <row r="434" spans="1:16" x14ac:dyDescent="0.3">
      <c r="A434" t="s">
        <v>1254</v>
      </c>
      <c r="B434" t="s">
        <v>296</v>
      </c>
      <c r="C434" t="s">
        <v>13</v>
      </c>
      <c r="D434" t="s">
        <v>1255</v>
      </c>
      <c r="E434">
        <v>56</v>
      </c>
      <c r="F434">
        <v>4</v>
      </c>
      <c r="G434">
        <v>74</v>
      </c>
      <c r="H434" s="1">
        <v>4.5</v>
      </c>
      <c r="I434" s="2">
        <v>45477</v>
      </c>
      <c r="J434" t="s">
        <v>1256</v>
      </c>
      <c r="K434">
        <v>61</v>
      </c>
      <c r="L434" t="str">
        <f>IF(Table1[[#This Row],[Sales_Volume]]&gt;Table1[[#This Row],[Stock_Quantity]],"Pending","Fulfilled")</f>
        <v>Pending</v>
      </c>
      <c r="M434">
        <v>3</v>
      </c>
      <c r="N434">
        <v>73</v>
      </c>
      <c r="O434" t="str">
        <f>IF(Table1[[#This Row],[Stock_Quantity]]&lt;=Table1[[#This Row],[Reorder_Level]],"Reoeder required","Sufficient")</f>
        <v>Sufficient</v>
      </c>
      <c r="P434" t="str">
        <f>IF(Table1[[#This Row],[Stock_Quantity]]=0,"Out of stock","Available")</f>
        <v>Available</v>
      </c>
    </row>
    <row r="435" spans="1:16" x14ac:dyDescent="0.3">
      <c r="A435" t="s">
        <v>1257</v>
      </c>
      <c r="B435" t="s">
        <v>1151</v>
      </c>
      <c r="C435" t="s">
        <v>65</v>
      </c>
      <c r="D435" t="s">
        <v>426</v>
      </c>
      <c r="E435">
        <v>91</v>
      </c>
      <c r="F435">
        <v>71</v>
      </c>
      <c r="G435">
        <v>17</v>
      </c>
      <c r="H435" s="1">
        <v>3.5</v>
      </c>
      <c r="I435" s="2">
        <v>45505</v>
      </c>
      <c r="J435" t="s">
        <v>1258</v>
      </c>
      <c r="K435">
        <v>74</v>
      </c>
      <c r="L435" t="str">
        <f>IF(Table1[[#This Row],[Sales_Volume]]&gt;Table1[[#This Row],[Stock_Quantity]],"Pending","Fulfilled")</f>
        <v>Fulfilled</v>
      </c>
      <c r="M435">
        <v>4</v>
      </c>
      <c r="N435">
        <v>57</v>
      </c>
      <c r="O435" t="str">
        <f>IF(Table1[[#This Row],[Stock_Quantity]]&lt;=Table1[[#This Row],[Reorder_Level]],"Reoeder required","Sufficient")</f>
        <v>Sufficient</v>
      </c>
      <c r="P435" t="str">
        <f>IF(Table1[[#This Row],[Stock_Quantity]]=0,"Out of stock","Available")</f>
        <v>Available</v>
      </c>
    </row>
    <row r="436" spans="1:16" x14ac:dyDescent="0.3">
      <c r="A436" t="s">
        <v>1259</v>
      </c>
      <c r="B436" t="s">
        <v>60</v>
      </c>
      <c r="C436" t="s">
        <v>13</v>
      </c>
      <c r="D436" t="s">
        <v>677</v>
      </c>
      <c r="E436">
        <v>27</v>
      </c>
      <c r="F436">
        <v>64</v>
      </c>
      <c r="G436">
        <v>78</v>
      </c>
      <c r="H436" s="1">
        <v>2</v>
      </c>
      <c r="I436" s="2">
        <v>45416</v>
      </c>
      <c r="J436" t="s">
        <v>1260</v>
      </c>
      <c r="K436">
        <v>57</v>
      </c>
      <c r="L436" t="str">
        <f>IF(Table1[[#This Row],[Sales_Volume]]&gt;Table1[[#This Row],[Stock_Quantity]],"Pending","Fulfilled")</f>
        <v>Pending</v>
      </c>
      <c r="M436">
        <v>3</v>
      </c>
      <c r="N436">
        <v>4</v>
      </c>
      <c r="O436" t="str">
        <f>IF(Table1[[#This Row],[Stock_Quantity]]&lt;=Table1[[#This Row],[Reorder_Level]],"Reoeder required","Sufficient")</f>
        <v>Reoeder required</v>
      </c>
      <c r="P436" t="str">
        <f>IF(Table1[[#This Row],[Stock_Quantity]]=0,"Out of stock","Available")</f>
        <v>Available</v>
      </c>
    </row>
    <row r="437" spans="1:16" x14ac:dyDescent="0.3">
      <c r="A437" t="s">
        <v>1261</v>
      </c>
      <c r="B437" t="s">
        <v>482</v>
      </c>
      <c r="C437" t="s">
        <v>45</v>
      </c>
      <c r="D437" t="s">
        <v>369</v>
      </c>
      <c r="E437">
        <v>28</v>
      </c>
      <c r="F437">
        <v>90</v>
      </c>
      <c r="G437">
        <v>70</v>
      </c>
      <c r="H437" s="1">
        <v>2.4500000000000002</v>
      </c>
      <c r="I437" s="2">
        <v>45702</v>
      </c>
      <c r="J437" t="s">
        <v>1262</v>
      </c>
      <c r="K437">
        <v>76</v>
      </c>
      <c r="L437" t="str">
        <f>IF(Table1[[#This Row],[Sales_Volume]]&gt;Table1[[#This Row],[Stock_Quantity]],"Pending","Fulfilled")</f>
        <v>Pending</v>
      </c>
      <c r="M437">
        <v>2</v>
      </c>
      <c r="N437">
        <v>78</v>
      </c>
      <c r="O437" t="str">
        <f>IF(Table1[[#This Row],[Stock_Quantity]]&lt;=Table1[[#This Row],[Reorder_Level]],"Reoeder required","Sufficient")</f>
        <v>Reoeder required</v>
      </c>
      <c r="P437" t="str">
        <f>IF(Table1[[#This Row],[Stock_Quantity]]=0,"Out of stock","Available")</f>
        <v>Available</v>
      </c>
    </row>
    <row r="438" spans="1:16" x14ac:dyDescent="0.3">
      <c r="A438" t="s">
        <v>1263</v>
      </c>
      <c r="B438" t="s">
        <v>494</v>
      </c>
      <c r="C438" t="s">
        <v>45</v>
      </c>
      <c r="D438" t="s">
        <v>108</v>
      </c>
      <c r="E438">
        <v>92</v>
      </c>
      <c r="F438">
        <v>67</v>
      </c>
      <c r="G438">
        <v>51</v>
      </c>
      <c r="H438" s="1">
        <v>4</v>
      </c>
      <c r="I438" s="2">
        <v>45635</v>
      </c>
      <c r="J438" t="s">
        <v>1264</v>
      </c>
      <c r="K438">
        <v>23</v>
      </c>
      <c r="L438" t="str">
        <f>IF(Table1[[#This Row],[Sales_Volume]]&gt;Table1[[#This Row],[Stock_Quantity]],"Pending","Fulfilled")</f>
        <v>Fulfilled</v>
      </c>
      <c r="M438">
        <v>5</v>
      </c>
      <c r="N438">
        <v>78</v>
      </c>
      <c r="O438" t="str">
        <f>IF(Table1[[#This Row],[Stock_Quantity]]&lt;=Table1[[#This Row],[Reorder_Level]],"Reoeder required","Sufficient")</f>
        <v>Sufficient</v>
      </c>
      <c r="P438" t="str">
        <f>IF(Table1[[#This Row],[Stock_Quantity]]=0,"Out of stock","Available")</f>
        <v>Available</v>
      </c>
    </row>
    <row r="439" spans="1:16" x14ac:dyDescent="0.3">
      <c r="A439" t="s">
        <v>1265</v>
      </c>
      <c r="B439" t="s">
        <v>478</v>
      </c>
      <c r="C439" t="s">
        <v>99</v>
      </c>
      <c r="D439" t="s">
        <v>751</v>
      </c>
      <c r="E439">
        <v>37</v>
      </c>
      <c r="F439">
        <v>33</v>
      </c>
      <c r="G439">
        <v>80</v>
      </c>
      <c r="H439" s="1">
        <v>18</v>
      </c>
      <c r="I439" s="2">
        <v>45422</v>
      </c>
      <c r="J439" t="s">
        <v>1266</v>
      </c>
      <c r="K439">
        <v>27</v>
      </c>
      <c r="L439" t="str">
        <f>IF(Table1[[#This Row],[Sales_Volume]]&gt;Table1[[#This Row],[Stock_Quantity]],"Pending","Fulfilled")</f>
        <v>Fulfilled</v>
      </c>
      <c r="M439">
        <v>5</v>
      </c>
      <c r="N439">
        <v>73</v>
      </c>
      <c r="O439" t="str">
        <f>IF(Table1[[#This Row],[Stock_Quantity]]&lt;=Table1[[#This Row],[Reorder_Level]],"Reoeder required","Sufficient")</f>
        <v>Sufficient</v>
      </c>
      <c r="P439" t="str">
        <f>IF(Table1[[#This Row],[Stock_Quantity]]=0,"Out of stock","Available")</f>
        <v>Available</v>
      </c>
    </row>
    <row r="440" spans="1:16" x14ac:dyDescent="0.3">
      <c r="A440" t="s">
        <v>1267</v>
      </c>
      <c r="B440" t="s">
        <v>525</v>
      </c>
      <c r="C440" t="s">
        <v>13</v>
      </c>
      <c r="D440" t="s">
        <v>1268</v>
      </c>
      <c r="E440">
        <v>28</v>
      </c>
      <c r="F440">
        <v>24</v>
      </c>
      <c r="G440">
        <v>97</v>
      </c>
      <c r="H440" s="1">
        <v>2.5</v>
      </c>
      <c r="I440" s="2">
        <v>45424</v>
      </c>
      <c r="J440" t="s">
        <v>1269</v>
      </c>
      <c r="K440">
        <v>82</v>
      </c>
      <c r="L440" t="str">
        <f>IF(Table1[[#This Row],[Sales_Volume]]&gt;Table1[[#This Row],[Stock_Quantity]],"Pending","Fulfilled")</f>
        <v>Pending</v>
      </c>
      <c r="M440">
        <v>5</v>
      </c>
      <c r="N440">
        <v>5</v>
      </c>
      <c r="O440" t="str">
        <f>IF(Table1[[#This Row],[Stock_Quantity]]&lt;=Table1[[#This Row],[Reorder_Level]],"Reoeder required","Sufficient")</f>
        <v>Sufficient</v>
      </c>
      <c r="P440" t="str">
        <f>IF(Table1[[#This Row],[Stock_Quantity]]=0,"Out of stock","Available")</f>
        <v>Available</v>
      </c>
    </row>
    <row r="441" spans="1:16" x14ac:dyDescent="0.3">
      <c r="A441" t="s">
        <v>1270</v>
      </c>
      <c r="B441" t="s">
        <v>390</v>
      </c>
      <c r="C441" t="s">
        <v>99</v>
      </c>
      <c r="D441" t="s">
        <v>23</v>
      </c>
      <c r="E441">
        <v>30</v>
      </c>
      <c r="F441">
        <v>42</v>
      </c>
      <c r="G441">
        <v>8</v>
      </c>
      <c r="H441" s="1">
        <v>7</v>
      </c>
      <c r="I441" s="2">
        <v>45663</v>
      </c>
      <c r="J441" t="s">
        <v>1271</v>
      </c>
      <c r="K441">
        <v>48</v>
      </c>
      <c r="L441" t="str">
        <f>IF(Table1[[#This Row],[Sales_Volume]]&gt;Table1[[#This Row],[Stock_Quantity]],"Pending","Fulfilled")</f>
        <v>Pending</v>
      </c>
      <c r="M441">
        <v>1</v>
      </c>
      <c r="N441">
        <v>23</v>
      </c>
      <c r="O441" t="str">
        <f>IF(Table1[[#This Row],[Stock_Quantity]]&lt;=Table1[[#This Row],[Reorder_Level]],"Reoeder required","Sufficient")</f>
        <v>Reoeder required</v>
      </c>
      <c r="P441" t="str">
        <f>IF(Table1[[#This Row],[Stock_Quantity]]=0,"Out of stock","Available")</f>
        <v>Available</v>
      </c>
    </row>
    <row r="442" spans="1:16" x14ac:dyDescent="0.3">
      <c r="A442" t="s">
        <v>1272</v>
      </c>
      <c r="B442" t="s">
        <v>17</v>
      </c>
      <c r="C442" t="s">
        <v>18</v>
      </c>
      <c r="D442" t="s">
        <v>645</v>
      </c>
      <c r="E442">
        <v>98</v>
      </c>
      <c r="F442">
        <v>83</v>
      </c>
      <c r="G442">
        <v>5</v>
      </c>
      <c r="H442" s="1">
        <v>20</v>
      </c>
      <c r="I442" s="2">
        <v>45688</v>
      </c>
      <c r="J442" t="s">
        <v>1273</v>
      </c>
      <c r="K442">
        <v>39</v>
      </c>
      <c r="L442" t="str">
        <f>IF(Table1[[#This Row],[Sales_Volume]]&gt;Table1[[#This Row],[Stock_Quantity]],"Pending","Fulfilled")</f>
        <v>Fulfilled</v>
      </c>
      <c r="M442">
        <v>1</v>
      </c>
      <c r="N442">
        <v>79</v>
      </c>
      <c r="O442" t="str">
        <f>IF(Table1[[#This Row],[Stock_Quantity]]&lt;=Table1[[#This Row],[Reorder_Level]],"Reoeder required","Sufficient")</f>
        <v>Sufficient</v>
      </c>
      <c r="P442" t="str">
        <f>IF(Table1[[#This Row],[Stock_Quantity]]=0,"Out of stock","Available")</f>
        <v>Available</v>
      </c>
    </row>
    <row r="443" spans="1:16" x14ac:dyDescent="0.3">
      <c r="A443" t="s">
        <v>1274</v>
      </c>
      <c r="B443" t="s">
        <v>176</v>
      </c>
      <c r="C443" t="s">
        <v>31</v>
      </c>
      <c r="D443" t="s">
        <v>366</v>
      </c>
      <c r="E443">
        <v>65</v>
      </c>
      <c r="F443">
        <v>88</v>
      </c>
      <c r="G443">
        <v>20</v>
      </c>
      <c r="H443" s="1">
        <v>2.5</v>
      </c>
      <c r="I443" s="2">
        <v>45616</v>
      </c>
      <c r="J443" t="s">
        <v>1275</v>
      </c>
      <c r="K443">
        <v>89</v>
      </c>
      <c r="L443" t="str">
        <f>IF(Table1[[#This Row],[Sales_Volume]]&gt;Table1[[#This Row],[Stock_Quantity]],"Pending","Fulfilled")</f>
        <v>Pending</v>
      </c>
      <c r="M443">
        <v>1</v>
      </c>
      <c r="N443">
        <v>37</v>
      </c>
      <c r="O443" t="str">
        <f>IF(Table1[[#This Row],[Stock_Quantity]]&lt;=Table1[[#This Row],[Reorder_Level]],"Reoeder required","Sufficient")</f>
        <v>Reoeder required</v>
      </c>
      <c r="P443" t="str">
        <f>IF(Table1[[#This Row],[Stock_Quantity]]=0,"Out of stock","Available")</f>
        <v>Available</v>
      </c>
    </row>
    <row r="444" spans="1:16" x14ac:dyDescent="0.3">
      <c r="A444" t="s">
        <v>1276</v>
      </c>
      <c r="B444" t="s">
        <v>363</v>
      </c>
      <c r="C444" t="s">
        <v>13</v>
      </c>
      <c r="D444" t="s">
        <v>833</v>
      </c>
      <c r="E444">
        <v>42</v>
      </c>
      <c r="F444">
        <v>3</v>
      </c>
      <c r="G444">
        <v>21</v>
      </c>
      <c r="H444" s="1">
        <v>2</v>
      </c>
      <c r="I444" s="2">
        <v>45684</v>
      </c>
      <c r="J444" t="s">
        <v>1277</v>
      </c>
      <c r="K444">
        <v>35</v>
      </c>
      <c r="L444" t="str">
        <f>IF(Table1[[#This Row],[Sales_Volume]]&gt;Table1[[#This Row],[Stock_Quantity]],"Pending","Fulfilled")</f>
        <v>Fulfilled</v>
      </c>
      <c r="M444">
        <v>2</v>
      </c>
      <c r="N444">
        <v>22</v>
      </c>
      <c r="O444" t="str">
        <f>IF(Table1[[#This Row],[Stock_Quantity]]&lt;=Table1[[#This Row],[Reorder_Level]],"Reoeder required","Sufficient")</f>
        <v>Sufficient</v>
      </c>
      <c r="P444" t="str">
        <f>IF(Table1[[#This Row],[Stock_Quantity]]=0,"Out of stock","Available")</f>
        <v>Available</v>
      </c>
    </row>
    <row r="445" spans="1:16" x14ac:dyDescent="0.3">
      <c r="A445" t="s">
        <v>1278</v>
      </c>
      <c r="B445" t="s">
        <v>176</v>
      </c>
      <c r="C445" t="s">
        <v>31</v>
      </c>
      <c r="D445" t="s">
        <v>1279</v>
      </c>
      <c r="E445">
        <v>63</v>
      </c>
      <c r="F445">
        <v>60</v>
      </c>
      <c r="G445">
        <v>54</v>
      </c>
      <c r="H445" s="1">
        <v>2.5</v>
      </c>
      <c r="I445" s="2">
        <v>45433</v>
      </c>
      <c r="J445" t="s">
        <v>1280</v>
      </c>
      <c r="K445">
        <v>33</v>
      </c>
      <c r="L445" t="str">
        <f>IF(Table1[[#This Row],[Sales_Volume]]&gt;Table1[[#This Row],[Stock_Quantity]],"Pending","Fulfilled")</f>
        <v>Fulfilled</v>
      </c>
      <c r="M445">
        <v>2</v>
      </c>
      <c r="N445">
        <v>31</v>
      </c>
      <c r="O445" t="str">
        <f>IF(Table1[[#This Row],[Stock_Quantity]]&lt;=Table1[[#This Row],[Reorder_Level]],"Reoeder required","Sufficient")</f>
        <v>Sufficient</v>
      </c>
      <c r="P445" t="str">
        <f>IF(Table1[[#This Row],[Stock_Quantity]]=0,"Out of stock","Available")</f>
        <v>Available</v>
      </c>
    </row>
    <row r="446" spans="1:16" x14ac:dyDescent="0.3">
      <c r="A446" t="s">
        <v>1281</v>
      </c>
      <c r="B446" t="s">
        <v>268</v>
      </c>
      <c r="C446" t="s">
        <v>31</v>
      </c>
      <c r="D446" t="s">
        <v>981</v>
      </c>
      <c r="E446">
        <v>85</v>
      </c>
      <c r="F446">
        <v>54</v>
      </c>
      <c r="G446">
        <v>18</v>
      </c>
      <c r="H446" s="1">
        <v>4</v>
      </c>
      <c r="I446" s="2">
        <v>45588</v>
      </c>
      <c r="J446" t="s">
        <v>1282</v>
      </c>
      <c r="K446">
        <v>85</v>
      </c>
      <c r="L446" t="str">
        <f>IF(Table1[[#This Row],[Sales_Volume]]&gt;Table1[[#This Row],[Stock_Quantity]],"Pending","Fulfilled")</f>
        <v>Fulfilled</v>
      </c>
      <c r="M446">
        <v>8</v>
      </c>
      <c r="N446">
        <v>44</v>
      </c>
      <c r="O446" t="str">
        <f>IF(Table1[[#This Row],[Stock_Quantity]]&lt;=Table1[[#This Row],[Reorder_Level]],"Reoeder required","Sufficient")</f>
        <v>Sufficient</v>
      </c>
      <c r="P446" t="str">
        <f>IF(Table1[[#This Row],[Stock_Quantity]]=0,"Out of stock","Available")</f>
        <v>Available</v>
      </c>
    </row>
    <row r="447" spans="1:16" x14ac:dyDescent="0.3">
      <c r="A447" t="s">
        <v>1283</v>
      </c>
      <c r="B447" t="s">
        <v>53</v>
      </c>
      <c r="C447" t="s">
        <v>45</v>
      </c>
      <c r="D447" t="s">
        <v>522</v>
      </c>
      <c r="E447">
        <v>44</v>
      </c>
      <c r="F447">
        <v>75</v>
      </c>
      <c r="G447">
        <v>72</v>
      </c>
      <c r="H447" s="1">
        <v>1</v>
      </c>
      <c r="I447" s="2">
        <v>45625</v>
      </c>
      <c r="J447" t="s">
        <v>1284</v>
      </c>
      <c r="K447">
        <v>96</v>
      </c>
      <c r="L447" t="str">
        <f>IF(Table1[[#This Row],[Sales_Volume]]&gt;Table1[[#This Row],[Stock_Quantity]],"Pending","Fulfilled")</f>
        <v>Pending</v>
      </c>
      <c r="M447">
        <v>1</v>
      </c>
      <c r="N447">
        <v>38</v>
      </c>
      <c r="O447" t="str">
        <f>IF(Table1[[#This Row],[Stock_Quantity]]&lt;=Table1[[#This Row],[Reorder_Level]],"Reoeder required","Sufficient")</f>
        <v>Reoeder required</v>
      </c>
      <c r="P447" t="str">
        <f>IF(Table1[[#This Row],[Stock_Quantity]]=0,"Out of stock","Available")</f>
        <v>Available</v>
      </c>
    </row>
    <row r="448" spans="1:16" x14ac:dyDescent="0.3">
      <c r="A448" t="s">
        <v>1285</v>
      </c>
      <c r="B448" t="s">
        <v>30</v>
      </c>
      <c r="C448" t="s">
        <v>31</v>
      </c>
      <c r="D448" t="s">
        <v>112</v>
      </c>
      <c r="E448">
        <v>26</v>
      </c>
      <c r="F448">
        <v>69</v>
      </c>
      <c r="G448">
        <v>90</v>
      </c>
      <c r="H448" s="1">
        <v>4</v>
      </c>
      <c r="I448" s="2">
        <v>45451</v>
      </c>
      <c r="J448" t="s">
        <v>1286</v>
      </c>
      <c r="K448">
        <v>47</v>
      </c>
      <c r="L448" t="str">
        <f>IF(Table1[[#This Row],[Sales_Volume]]&gt;Table1[[#This Row],[Stock_Quantity]],"Pending","Fulfilled")</f>
        <v>Pending</v>
      </c>
      <c r="M448">
        <v>8</v>
      </c>
      <c r="N448">
        <v>35</v>
      </c>
      <c r="O448" t="str">
        <f>IF(Table1[[#This Row],[Stock_Quantity]]&lt;=Table1[[#This Row],[Reorder_Level]],"Reoeder required","Sufficient")</f>
        <v>Reoeder required</v>
      </c>
      <c r="P448" t="str">
        <f>IF(Table1[[#This Row],[Stock_Quantity]]=0,"Out of stock","Available")</f>
        <v>Available</v>
      </c>
    </row>
    <row r="449" spans="1:16" x14ac:dyDescent="0.3">
      <c r="A449" t="s">
        <v>1287</v>
      </c>
      <c r="B449" t="s">
        <v>948</v>
      </c>
      <c r="C449" t="s">
        <v>13</v>
      </c>
      <c r="D449" t="s">
        <v>557</v>
      </c>
      <c r="E449">
        <v>49</v>
      </c>
      <c r="F449">
        <v>59</v>
      </c>
      <c r="G449">
        <v>73</v>
      </c>
      <c r="H449" s="1">
        <v>5</v>
      </c>
      <c r="I449" s="2">
        <v>45388</v>
      </c>
      <c r="J449" t="s">
        <v>1288</v>
      </c>
      <c r="K449">
        <v>93</v>
      </c>
      <c r="L449" t="str">
        <f>IF(Table1[[#This Row],[Sales_Volume]]&gt;Table1[[#This Row],[Stock_Quantity]],"Pending","Fulfilled")</f>
        <v>Pending</v>
      </c>
      <c r="M449">
        <v>2</v>
      </c>
      <c r="N449">
        <v>45</v>
      </c>
      <c r="O449" t="str">
        <f>IF(Table1[[#This Row],[Stock_Quantity]]&lt;=Table1[[#This Row],[Reorder_Level]],"Reoeder required","Sufficient")</f>
        <v>Reoeder required</v>
      </c>
      <c r="P449" t="str">
        <f>IF(Table1[[#This Row],[Stock_Quantity]]=0,"Out of stock","Available")</f>
        <v>Available</v>
      </c>
    </row>
    <row r="450" spans="1:16" x14ac:dyDescent="0.3">
      <c r="A450" t="s">
        <v>1289</v>
      </c>
      <c r="B450" t="s">
        <v>418</v>
      </c>
      <c r="C450" t="s">
        <v>31</v>
      </c>
      <c r="D450" t="s">
        <v>526</v>
      </c>
      <c r="E450">
        <v>59</v>
      </c>
      <c r="F450">
        <v>79</v>
      </c>
      <c r="G450">
        <v>87</v>
      </c>
      <c r="H450" s="1">
        <v>6</v>
      </c>
      <c r="I450" s="2">
        <v>45568</v>
      </c>
      <c r="J450" t="s">
        <v>1290</v>
      </c>
      <c r="K450">
        <v>47</v>
      </c>
      <c r="L450" t="str">
        <f>IF(Table1[[#This Row],[Sales_Volume]]&gt;Table1[[#This Row],[Stock_Quantity]],"Pending","Fulfilled")</f>
        <v>Fulfilled</v>
      </c>
      <c r="M450">
        <v>4</v>
      </c>
      <c r="N450">
        <v>18</v>
      </c>
      <c r="O450" t="str">
        <f>IF(Table1[[#This Row],[Stock_Quantity]]&lt;=Table1[[#This Row],[Reorder_Level]],"Reoeder required","Sufficient")</f>
        <v>Reoeder required</v>
      </c>
      <c r="P450" t="str">
        <f>IF(Table1[[#This Row],[Stock_Quantity]]=0,"Out of stock","Available")</f>
        <v>Available</v>
      </c>
    </row>
    <row r="451" spans="1:16" x14ac:dyDescent="0.3">
      <c r="A451" t="s">
        <v>1291</v>
      </c>
      <c r="B451" t="s">
        <v>115</v>
      </c>
      <c r="C451" t="s">
        <v>13</v>
      </c>
      <c r="D451" t="s">
        <v>899</v>
      </c>
      <c r="E451">
        <v>19</v>
      </c>
      <c r="F451">
        <v>81</v>
      </c>
      <c r="G451">
        <v>33</v>
      </c>
      <c r="H451" s="1">
        <v>1.5</v>
      </c>
      <c r="I451" s="2">
        <v>45710</v>
      </c>
      <c r="J451" t="s">
        <v>1292</v>
      </c>
      <c r="K451">
        <v>39</v>
      </c>
      <c r="L451" t="str">
        <f>IF(Table1[[#This Row],[Sales_Volume]]&gt;Table1[[#This Row],[Stock_Quantity]],"Pending","Fulfilled")</f>
        <v>Pending</v>
      </c>
      <c r="M451">
        <v>8</v>
      </c>
      <c r="N451">
        <v>85</v>
      </c>
      <c r="O451" t="str">
        <f>IF(Table1[[#This Row],[Stock_Quantity]]&lt;=Table1[[#This Row],[Reorder_Level]],"Reoeder required","Sufficient")</f>
        <v>Reoeder required</v>
      </c>
      <c r="P451" t="str">
        <f>IF(Table1[[#This Row],[Stock_Quantity]]=0,"Out of stock","Available")</f>
        <v>Available</v>
      </c>
    </row>
    <row r="452" spans="1:16" x14ac:dyDescent="0.3">
      <c r="A452" t="s">
        <v>1293</v>
      </c>
      <c r="B452" t="s">
        <v>272</v>
      </c>
      <c r="C452" t="s">
        <v>31</v>
      </c>
      <c r="D452" t="s">
        <v>188</v>
      </c>
      <c r="E452">
        <v>47</v>
      </c>
      <c r="F452">
        <v>41</v>
      </c>
      <c r="G452">
        <v>63</v>
      </c>
      <c r="H452" s="1">
        <v>3</v>
      </c>
      <c r="I452" s="2">
        <v>45444</v>
      </c>
      <c r="J452" t="s">
        <v>1294</v>
      </c>
      <c r="K452">
        <v>39</v>
      </c>
      <c r="L452" t="str">
        <f>IF(Table1[[#This Row],[Sales_Volume]]&gt;Table1[[#This Row],[Stock_Quantity]],"Pending","Fulfilled")</f>
        <v>Fulfilled</v>
      </c>
      <c r="M452">
        <v>6</v>
      </c>
      <c r="N452">
        <v>54</v>
      </c>
      <c r="O452" t="str">
        <f>IF(Table1[[#This Row],[Stock_Quantity]]&lt;=Table1[[#This Row],[Reorder_Level]],"Reoeder required","Sufficient")</f>
        <v>Sufficient</v>
      </c>
      <c r="P452" t="str">
        <f>IF(Table1[[#This Row],[Stock_Quantity]]=0,"Out of stock","Available")</f>
        <v>Available</v>
      </c>
    </row>
    <row r="453" spans="1:16" x14ac:dyDescent="0.3">
      <c r="A453" t="s">
        <v>1295</v>
      </c>
      <c r="B453" t="s">
        <v>846</v>
      </c>
      <c r="C453" t="s">
        <v>31</v>
      </c>
      <c r="D453" t="s">
        <v>1098</v>
      </c>
      <c r="E453">
        <v>98</v>
      </c>
      <c r="F453">
        <v>62</v>
      </c>
      <c r="G453">
        <v>97</v>
      </c>
      <c r="H453" s="1">
        <v>5.5</v>
      </c>
      <c r="I453" s="2">
        <v>45529</v>
      </c>
      <c r="J453" t="s">
        <v>1296</v>
      </c>
      <c r="K453">
        <v>59</v>
      </c>
      <c r="L453" t="str">
        <f>IF(Table1[[#This Row],[Sales_Volume]]&gt;Table1[[#This Row],[Stock_Quantity]],"Pending","Fulfilled")</f>
        <v>Fulfilled</v>
      </c>
      <c r="M453">
        <v>7</v>
      </c>
      <c r="N453">
        <v>19</v>
      </c>
      <c r="O453" t="str">
        <f>IF(Table1[[#This Row],[Stock_Quantity]]&lt;=Table1[[#This Row],[Reorder_Level]],"Reoeder required","Sufficient")</f>
        <v>Sufficient</v>
      </c>
      <c r="P453" t="str">
        <f>IF(Table1[[#This Row],[Stock_Quantity]]=0,"Out of stock","Available")</f>
        <v>Available</v>
      </c>
    </row>
    <row r="454" spans="1:16" x14ac:dyDescent="0.3">
      <c r="A454" t="s">
        <v>1297</v>
      </c>
      <c r="B454" t="s">
        <v>595</v>
      </c>
      <c r="C454" t="s">
        <v>31</v>
      </c>
      <c r="D454" t="s">
        <v>1298</v>
      </c>
      <c r="E454">
        <v>51</v>
      </c>
      <c r="F454">
        <v>72</v>
      </c>
      <c r="G454">
        <v>85</v>
      </c>
      <c r="H454" s="1">
        <v>3</v>
      </c>
      <c r="I454" s="2">
        <v>45396</v>
      </c>
      <c r="J454" t="s">
        <v>1299</v>
      </c>
      <c r="K454">
        <v>23</v>
      </c>
      <c r="L454" t="str">
        <f>IF(Table1[[#This Row],[Sales_Volume]]&gt;Table1[[#This Row],[Stock_Quantity]],"Pending","Fulfilled")</f>
        <v>Fulfilled</v>
      </c>
      <c r="M454">
        <v>8</v>
      </c>
      <c r="N454">
        <v>17</v>
      </c>
      <c r="O454" t="str">
        <f>IF(Table1[[#This Row],[Stock_Quantity]]&lt;=Table1[[#This Row],[Reorder_Level]],"Reoeder required","Sufficient")</f>
        <v>Reoeder required</v>
      </c>
      <c r="P454" t="str">
        <f>IF(Table1[[#This Row],[Stock_Quantity]]=0,"Out of stock","Available")</f>
        <v>Available</v>
      </c>
    </row>
    <row r="455" spans="1:16" x14ac:dyDescent="0.3">
      <c r="A455" t="s">
        <v>1300</v>
      </c>
      <c r="B455" t="s">
        <v>610</v>
      </c>
      <c r="C455" t="s">
        <v>99</v>
      </c>
      <c r="D455" t="s">
        <v>488</v>
      </c>
      <c r="E455">
        <v>100</v>
      </c>
      <c r="F455">
        <v>99</v>
      </c>
      <c r="G455">
        <v>8</v>
      </c>
      <c r="H455" s="1">
        <v>10</v>
      </c>
      <c r="I455" s="2">
        <v>45591</v>
      </c>
      <c r="J455" t="s">
        <v>1301</v>
      </c>
      <c r="K455">
        <v>54</v>
      </c>
      <c r="L455" t="str">
        <f>IF(Table1[[#This Row],[Sales_Volume]]&gt;Table1[[#This Row],[Stock_Quantity]],"Pending","Fulfilled")</f>
        <v>Fulfilled</v>
      </c>
      <c r="M455">
        <v>2</v>
      </c>
      <c r="N455">
        <v>92</v>
      </c>
      <c r="O455" t="str">
        <f>IF(Table1[[#This Row],[Stock_Quantity]]&lt;=Table1[[#This Row],[Reorder_Level]],"Reoeder required","Sufficient")</f>
        <v>Sufficient</v>
      </c>
      <c r="P455" t="str">
        <f>IF(Table1[[#This Row],[Stock_Quantity]]=0,"Out of stock","Available")</f>
        <v>Available</v>
      </c>
    </row>
    <row r="456" spans="1:16" x14ac:dyDescent="0.3">
      <c r="A456" t="s">
        <v>1302</v>
      </c>
      <c r="B456" t="s">
        <v>914</v>
      </c>
      <c r="C456" t="s">
        <v>45</v>
      </c>
      <c r="D456" t="s">
        <v>14</v>
      </c>
      <c r="E456">
        <v>55</v>
      </c>
      <c r="F456">
        <v>50</v>
      </c>
      <c r="G456">
        <v>56</v>
      </c>
      <c r="H456" s="1">
        <v>1.7</v>
      </c>
      <c r="I456" s="2">
        <v>45605</v>
      </c>
      <c r="J456" t="s">
        <v>1303</v>
      </c>
      <c r="K456">
        <v>62</v>
      </c>
      <c r="L456" t="str">
        <f>IF(Table1[[#This Row],[Sales_Volume]]&gt;Table1[[#This Row],[Stock_Quantity]],"Pending","Fulfilled")</f>
        <v>Pending</v>
      </c>
      <c r="M456">
        <v>3</v>
      </c>
      <c r="N456">
        <v>26</v>
      </c>
      <c r="O456" t="str">
        <f>IF(Table1[[#This Row],[Stock_Quantity]]&lt;=Table1[[#This Row],[Reorder_Level]],"Reoeder required","Sufficient")</f>
        <v>Sufficient</v>
      </c>
      <c r="P456" t="str">
        <f>IF(Table1[[#This Row],[Stock_Quantity]]=0,"Out of stock","Available")</f>
        <v>Available</v>
      </c>
    </row>
    <row r="457" spans="1:16" x14ac:dyDescent="0.3">
      <c r="A457" t="s">
        <v>1304</v>
      </c>
      <c r="B457" t="s">
        <v>381</v>
      </c>
      <c r="C457" t="s">
        <v>45</v>
      </c>
      <c r="D457" t="s">
        <v>1305</v>
      </c>
      <c r="E457">
        <v>14</v>
      </c>
      <c r="F457">
        <v>87</v>
      </c>
      <c r="G457">
        <v>8</v>
      </c>
      <c r="H457" s="1">
        <v>4</v>
      </c>
      <c r="I457" s="2">
        <v>45607</v>
      </c>
      <c r="J457" t="s">
        <v>1306</v>
      </c>
      <c r="K457">
        <v>90</v>
      </c>
      <c r="L457" t="str">
        <f>IF(Table1[[#This Row],[Sales_Volume]]&gt;Table1[[#This Row],[Stock_Quantity]],"Pending","Fulfilled")</f>
        <v>Pending</v>
      </c>
      <c r="M457">
        <v>3</v>
      </c>
      <c r="N457">
        <v>14</v>
      </c>
      <c r="O457" t="str">
        <f>IF(Table1[[#This Row],[Stock_Quantity]]&lt;=Table1[[#This Row],[Reorder_Level]],"Reoeder required","Sufficient")</f>
        <v>Reoeder required</v>
      </c>
      <c r="P457" t="str">
        <f>IF(Table1[[#This Row],[Stock_Quantity]]=0,"Out of stock","Available")</f>
        <v>Available</v>
      </c>
    </row>
    <row r="458" spans="1:16" x14ac:dyDescent="0.3">
      <c r="A458" t="s">
        <v>1307</v>
      </c>
      <c r="B458" t="s">
        <v>119</v>
      </c>
      <c r="C458" t="s">
        <v>45</v>
      </c>
      <c r="D458" t="s">
        <v>226</v>
      </c>
      <c r="E458">
        <v>29</v>
      </c>
      <c r="F458">
        <v>33</v>
      </c>
      <c r="G458">
        <v>88</v>
      </c>
      <c r="H458" s="1">
        <v>0.8</v>
      </c>
      <c r="I458" s="2">
        <v>45527</v>
      </c>
      <c r="J458" t="s">
        <v>1308</v>
      </c>
      <c r="K458">
        <v>50</v>
      </c>
      <c r="L458" t="str">
        <f>IF(Table1[[#This Row],[Sales_Volume]]&gt;Table1[[#This Row],[Stock_Quantity]],"Pending","Fulfilled")</f>
        <v>Pending</v>
      </c>
      <c r="M458">
        <v>7</v>
      </c>
      <c r="N458">
        <v>35</v>
      </c>
      <c r="O458" t="str">
        <f>IF(Table1[[#This Row],[Stock_Quantity]]&lt;=Table1[[#This Row],[Reorder_Level]],"Reoeder required","Sufficient")</f>
        <v>Reoeder required</v>
      </c>
      <c r="P458" t="str">
        <f>IF(Table1[[#This Row],[Stock_Quantity]]=0,"Out of stock","Available")</f>
        <v>Available</v>
      </c>
    </row>
    <row r="459" spans="1:16" x14ac:dyDescent="0.3">
      <c r="A459" t="s">
        <v>1309</v>
      </c>
      <c r="B459" t="s">
        <v>342</v>
      </c>
      <c r="C459" t="s">
        <v>65</v>
      </c>
      <c r="D459" t="s">
        <v>713</v>
      </c>
      <c r="E459">
        <v>100</v>
      </c>
      <c r="F459">
        <v>1</v>
      </c>
      <c r="G459">
        <v>26</v>
      </c>
      <c r="H459" s="1">
        <v>5</v>
      </c>
      <c r="I459" s="2">
        <v>45372</v>
      </c>
      <c r="J459" t="s">
        <v>1310</v>
      </c>
      <c r="K459">
        <v>47</v>
      </c>
      <c r="L459" t="str">
        <f>IF(Table1[[#This Row],[Sales_Volume]]&gt;Table1[[#This Row],[Stock_Quantity]],"Pending","Fulfilled")</f>
        <v>Fulfilled</v>
      </c>
      <c r="M459">
        <v>7</v>
      </c>
      <c r="N459">
        <v>79</v>
      </c>
      <c r="O459" t="str">
        <f>IF(Table1[[#This Row],[Stock_Quantity]]&lt;=Table1[[#This Row],[Reorder_Level]],"Reoeder required","Sufficient")</f>
        <v>Sufficient</v>
      </c>
      <c r="P459" t="str">
        <f>IF(Table1[[#This Row],[Stock_Quantity]]=0,"Out of stock","Available")</f>
        <v>Available</v>
      </c>
    </row>
    <row r="460" spans="1:16" x14ac:dyDescent="0.3">
      <c r="A460" t="s">
        <v>1311</v>
      </c>
      <c r="B460" t="s">
        <v>252</v>
      </c>
      <c r="C460" t="s">
        <v>45</v>
      </c>
      <c r="D460" t="s">
        <v>787</v>
      </c>
      <c r="E460">
        <v>49</v>
      </c>
      <c r="F460">
        <v>28</v>
      </c>
      <c r="G460">
        <v>74</v>
      </c>
      <c r="H460" s="1">
        <v>6</v>
      </c>
      <c r="I460" s="2">
        <v>45671</v>
      </c>
      <c r="J460" t="s">
        <v>1312</v>
      </c>
      <c r="K460">
        <v>70</v>
      </c>
      <c r="L460" t="str">
        <f>IF(Table1[[#This Row],[Sales_Volume]]&gt;Table1[[#This Row],[Stock_Quantity]],"Pending","Fulfilled")</f>
        <v>Pending</v>
      </c>
      <c r="M460">
        <v>5</v>
      </c>
      <c r="N460">
        <v>38</v>
      </c>
      <c r="O460" t="str">
        <f>IF(Table1[[#This Row],[Stock_Quantity]]&lt;=Table1[[#This Row],[Reorder_Level]],"Reoeder required","Sufficient")</f>
        <v>Sufficient</v>
      </c>
      <c r="P460" t="str">
        <f>IF(Table1[[#This Row],[Stock_Quantity]]=0,"Out of stock","Available")</f>
        <v>Available</v>
      </c>
    </row>
    <row r="461" spans="1:16" x14ac:dyDescent="0.3">
      <c r="A461" t="s">
        <v>1313</v>
      </c>
      <c r="B461" t="s">
        <v>542</v>
      </c>
      <c r="C461" t="s">
        <v>40</v>
      </c>
      <c r="D461" t="s">
        <v>931</v>
      </c>
      <c r="E461">
        <v>75</v>
      </c>
      <c r="F461">
        <v>61</v>
      </c>
      <c r="G461">
        <v>19</v>
      </c>
      <c r="H461" s="1">
        <v>2</v>
      </c>
      <c r="I461" s="2">
        <v>45686</v>
      </c>
      <c r="J461" t="s">
        <v>1314</v>
      </c>
      <c r="K461">
        <v>79</v>
      </c>
      <c r="L461" t="str">
        <f>IF(Table1[[#This Row],[Sales_Volume]]&gt;Table1[[#This Row],[Stock_Quantity]],"Pending","Fulfilled")</f>
        <v>Pending</v>
      </c>
      <c r="M461">
        <v>4</v>
      </c>
      <c r="N461">
        <v>69</v>
      </c>
      <c r="O461" t="str">
        <f>IF(Table1[[#This Row],[Stock_Quantity]]&lt;=Table1[[#This Row],[Reorder_Level]],"Reoeder required","Sufficient")</f>
        <v>Sufficient</v>
      </c>
      <c r="P461" t="str">
        <f>IF(Table1[[#This Row],[Stock_Quantity]]=0,"Out of stock","Available")</f>
        <v>Available</v>
      </c>
    </row>
    <row r="462" spans="1:16" x14ac:dyDescent="0.3">
      <c r="A462" t="s">
        <v>1315</v>
      </c>
      <c r="B462" t="s">
        <v>279</v>
      </c>
      <c r="C462" t="s">
        <v>45</v>
      </c>
      <c r="D462" t="s">
        <v>1316</v>
      </c>
      <c r="E462">
        <v>82</v>
      </c>
      <c r="F462">
        <v>12</v>
      </c>
      <c r="G462">
        <v>94</v>
      </c>
      <c r="H462" s="1">
        <v>4.0999999999999996</v>
      </c>
      <c r="I462" s="2">
        <v>45463</v>
      </c>
      <c r="J462" t="s">
        <v>1317</v>
      </c>
      <c r="K462">
        <v>69</v>
      </c>
      <c r="L462" t="str">
        <f>IF(Table1[[#This Row],[Sales_Volume]]&gt;Table1[[#This Row],[Stock_Quantity]],"Pending","Fulfilled")</f>
        <v>Fulfilled</v>
      </c>
      <c r="M462">
        <v>4</v>
      </c>
      <c r="N462">
        <v>93</v>
      </c>
      <c r="O462" t="str">
        <f>IF(Table1[[#This Row],[Stock_Quantity]]&lt;=Table1[[#This Row],[Reorder_Level]],"Reoeder required","Sufficient")</f>
        <v>Sufficient</v>
      </c>
      <c r="P462" t="str">
        <f>IF(Table1[[#This Row],[Stock_Quantity]]=0,"Out of stock","Available")</f>
        <v>Available</v>
      </c>
    </row>
    <row r="463" spans="1:16" x14ac:dyDescent="0.3">
      <c r="A463" t="s">
        <v>1318</v>
      </c>
      <c r="B463" t="s">
        <v>378</v>
      </c>
      <c r="C463" t="s">
        <v>45</v>
      </c>
      <c r="D463" t="s">
        <v>19</v>
      </c>
      <c r="E463">
        <v>68</v>
      </c>
      <c r="F463">
        <v>82</v>
      </c>
      <c r="G463">
        <v>58</v>
      </c>
      <c r="H463" s="1">
        <v>4.8</v>
      </c>
      <c r="I463" s="2">
        <v>45528</v>
      </c>
      <c r="J463" t="s">
        <v>1319</v>
      </c>
      <c r="K463">
        <v>90</v>
      </c>
      <c r="L463" t="str">
        <f>IF(Table1[[#This Row],[Sales_Volume]]&gt;Table1[[#This Row],[Stock_Quantity]],"Pending","Fulfilled")</f>
        <v>Pending</v>
      </c>
      <c r="M463">
        <v>3</v>
      </c>
      <c r="N463">
        <v>2</v>
      </c>
      <c r="O463" t="str">
        <f>IF(Table1[[#This Row],[Stock_Quantity]]&lt;=Table1[[#This Row],[Reorder_Level]],"Reoeder required","Sufficient")</f>
        <v>Reoeder required</v>
      </c>
      <c r="P463" t="str">
        <f>IF(Table1[[#This Row],[Stock_Quantity]]=0,"Out of stock","Available")</f>
        <v>Available</v>
      </c>
    </row>
    <row r="464" spans="1:16" x14ac:dyDescent="0.3">
      <c r="A464" t="s">
        <v>1320</v>
      </c>
      <c r="B464" t="s">
        <v>39</v>
      </c>
      <c r="C464" t="s">
        <v>40</v>
      </c>
      <c r="D464" t="s">
        <v>1321</v>
      </c>
      <c r="E464">
        <v>70</v>
      </c>
      <c r="F464">
        <v>96</v>
      </c>
      <c r="G464">
        <v>85</v>
      </c>
      <c r="H464" s="1">
        <v>2.5</v>
      </c>
      <c r="I464" s="2">
        <v>45538</v>
      </c>
      <c r="J464" t="s">
        <v>1322</v>
      </c>
      <c r="K464">
        <v>34</v>
      </c>
      <c r="L464" t="str">
        <f>IF(Table1[[#This Row],[Sales_Volume]]&gt;Table1[[#This Row],[Stock_Quantity]],"Pending","Fulfilled")</f>
        <v>Fulfilled</v>
      </c>
      <c r="M464">
        <v>2</v>
      </c>
      <c r="N464">
        <v>3</v>
      </c>
      <c r="O464" t="str">
        <f>IF(Table1[[#This Row],[Stock_Quantity]]&lt;=Table1[[#This Row],[Reorder_Level]],"Reoeder required","Sufficient")</f>
        <v>Reoeder required</v>
      </c>
      <c r="P464" t="str">
        <f>IF(Table1[[#This Row],[Stock_Quantity]]=0,"Out of stock","Available")</f>
        <v>Available</v>
      </c>
    </row>
    <row r="465" spans="1:16" x14ac:dyDescent="0.3">
      <c r="A465" t="s">
        <v>1323</v>
      </c>
      <c r="B465" t="s">
        <v>1101</v>
      </c>
      <c r="C465" t="s">
        <v>99</v>
      </c>
      <c r="D465" t="s">
        <v>680</v>
      </c>
      <c r="E465">
        <v>49</v>
      </c>
      <c r="F465">
        <v>48</v>
      </c>
      <c r="G465">
        <v>62</v>
      </c>
      <c r="H465" s="1">
        <v>15</v>
      </c>
      <c r="I465" s="2">
        <v>45347</v>
      </c>
      <c r="J465" t="s">
        <v>1324</v>
      </c>
      <c r="K465">
        <v>96</v>
      </c>
      <c r="L465" t="str">
        <f>IF(Table1[[#This Row],[Sales_Volume]]&gt;Table1[[#This Row],[Stock_Quantity]],"Pending","Fulfilled")</f>
        <v>Pending</v>
      </c>
      <c r="M465">
        <v>7</v>
      </c>
      <c r="N465">
        <v>37</v>
      </c>
      <c r="O465" t="str">
        <f>IF(Table1[[#This Row],[Stock_Quantity]]&lt;=Table1[[#This Row],[Reorder_Level]],"Reoeder required","Sufficient")</f>
        <v>Sufficient</v>
      </c>
      <c r="P465" t="str">
        <f>IF(Table1[[#This Row],[Stock_Quantity]]=0,"Out of stock","Available")</f>
        <v>Available</v>
      </c>
    </row>
    <row r="466" spans="1:16" x14ac:dyDescent="0.3">
      <c r="A466" t="s">
        <v>1325</v>
      </c>
      <c r="B466" t="s">
        <v>786</v>
      </c>
      <c r="C466" t="s">
        <v>99</v>
      </c>
      <c r="D466" t="s">
        <v>1326</v>
      </c>
      <c r="E466">
        <v>89</v>
      </c>
      <c r="F466">
        <v>26</v>
      </c>
      <c r="G466">
        <v>36</v>
      </c>
      <c r="H466" s="1">
        <v>7.5</v>
      </c>
      <c r="I466" s="2">
        <v>45503</v>
      </c>
      <c r="J466" t="s">
        <v>1327</v>
      </c>
      <c r="K466">
        <v>48</v>
      </c>
      <c r="L466" t="str">
        <f>IF(Table1[[#This Row],[Sales_Volume]]&gt;Table1[[#This Row],[Stock_Quantity]],"Pending","Fulfilled")</f>
        <v>Fulfilled</v>
      </c>
      <c r="M466">
        <v>8</v>
      </c>
      <c r="N466">
        <v>94</v>
      </c>
      <c r="O466" t="str">
        <f>IF(Table1[[#This Row],[Stock_Quantity]]&lt;=Table1[[#This Row],[Reorder_Level]],"Reoeder required","Sufficient")</f>
        <v>Sufficient</v>
      </c>
      <c r="P466" t="str">
        <f>IF(Table1[[#This Row],[Stock_Quantity]]=0,"Out of stock","Available")</f>
        <v>Available</v>
      </c>
    </row>
    <row r="467" spans="1:16" x14ac:dyDescent="0.3">
      <c r="A467" t="s">
        <v>1328</v>
      </c>
      <c r="B467" t="s">
        <v>346</v>
      </c>
      <c r="C467" t="s">
        <v>45</v>
      </c>
      <c r="D467" t="s">
        <v>719</v>
      </c>
      <c r="E467">
        <v>88</v>
      </c>
      <c r="F467">
        <v>53</v>
      </c>
      <c r="G467">
        <v>44</v>
      </c>
      <c r="H467" s="1">
        <v>9</v>
      </c>
      <c r="I467" s="2">
        <v>45650</v>
      </c>
      <c r="J467" t="s">
        <v>1329</v>
      </c>
      <c r="K467">
        <v>56</v>
      </c>
      <c r="L467" t="str">
        <f>IF(Table1[[#This Row],[Sales_Volume]]&gt;Table1[[#This Row],[Stock_Quantity]],"Pending","Fulfilled")</f>
        <v>Fulfilled</v>
      </c>
      <c r="M467">
        <v>4</v>
      </c>
      <c r="N467">
        <v>14</v>
      </c>
      <c r="O467" t="str">
        <f>IF(Table1[[#This Row],[Stock_Quantity]]&lt;=Table1[[#This Row],[Reorder_Level]],"Reoeder required","Sufficient")</f>
        <v>Sufficient</v>
      </c>
      <c r="P467" t="str">
        <f>IF(Table1[[#This Row],[Stock_Quantity]]=0,"Out of stock","Available")</f>
        <v>Available</v>
      </c>
    </row>
    <row r="468" spans="1:16" x14ac:dyDescent="0.3">
      <c r="A468" t="s">
        <v>1330</v>
      </c>
      <c r="B468" t="s">
        <v>514</v>
      </c>
      <c r="C468" t="s">
        <v>18</v>
      </c>
      <c r="D468" t="s">
        <v>705</v>
      </c>
      <c r="E468">
        <v>39</v>
      </c>
      <c r="F468">
        <v>88</v>
      </c>
      <c r="G468">
        <v>100</v>
      </c>
      <c r="H468" s="1">
        <v>8</v>
      </c>
      <c r="I468" s="2">
        <v>45687</v>
      </c>
      <c r="J468" t="s">
        <v>1331</v>
      </c>
      <c r="K468">
        <v>28</v>
      </c>
      <c r="L468" t="str">
        <f>IF(Table1[[#This Row],[Sales_Volume]]&gt;Table1[[#This Row],[Stock_Quantity]],"Pending","Fulfilled")</f>
        <v>Fulfilled</v>
      </c>
      <c r="M468">
        <v>4</v>
      </c>
      <c r="N468">
        <v>18</v>
      </c>
      <c r="O468" t="str">
        <f>IF(Table1[[#This Row],[Stock_Quantity]]&lt;=Table1[[#This Row],[Reorder_Level]],"Reoeder required","Sufficient")</f>
        <v>Reoeder required</v>
      </c>
      <c r="P468" t="str">
        <f>IF(Table1[[#This Row],[Stock_Quantity]]=0,"Out of stock","Available")</f>
        <v>Available</v>
      </c>
    </row>
    <row r="469" spans="1:16" x14ac:dyDescent="0.3">
      <c r="A469" t="s">
        <v>1332</v>
      </c>
      <c r="B469" t="s">
        <v>455</v>
      </c>
      <c r="C469" t="s">
        <v>31</v>
      </c>
      <c r="D469" t="s">
        <v>419</v>
      </c>
      <c r="E469">
        <v>87</v>
      </c>
      <c r="F469">
        <v>91</v>
      </c>
      <c r="G469">
        <v>94</v>
      </c>
      <c r="H469" s="1">
        <v>2.5</v>
      </c>
      <c r="I469" s="2">
        <v>45560</v>
      </c>
      <c r="J469" t="s">
        <v>1333</v>
      </c>
      <c r="K469">
        <v>47</v>
      </c>
      <c r="L469" t="str">
        <f>IF(Table1[[#This Row],[Sales_Volume]]&gt;Table1[[#This Row],[Stock_Quantity]],"Pending","Fulfilled")</f>
        <v>Fulfilled</v>
      </c>
      <c r="M469">
        <v>3</v>
      </c>
      <c r="N469">
        <v>4</v>
      </c>
      <c r="O469" t="str">
        <f>IF(Table1[[#This Row],[Stock_Quantity]]&lt;=Table1[[#This Row],[Reorder_Level]],"Reoeder required","Sufficient")</f>
        <v>Reoeder required</v>
      </c>
      <c r="P469" t="str">
        <f>IF(Table1[[#This Row],[Stock_Quantity]]=0,"Out of stock","Available")</f>
        <v>Available</v>
      </c>
    </row>
    <row r="470" spans="1:16" x14ac:dyDescent="0.3">
      <c r="A470" t="s">
        <v>1334</v>
      </c>
      <c r="B470" t="s">
        <v>127</v>
      </c>
      <c r="C470" t="s">
        <v>65</v>
      </c>
      <c r="D470" t="s">
        <v>343</v>
      </c>
      <c r="E470">
        <v>93</v>
      </c>
      <c r="F470">
        <v>50</v>
      </c>
      <c r="G470">
        <v>43</v>
      </c>
      <c r="H470" s="1">
        <v>5</v>
      </c>
      <c r="I470" s="2">
        <v>45428</v>
      </c>
      <c r="J470" t="s">
        <v>1335</v>
      </c>
      <c r="K470">
        <v>76</v>
      </c>
      <c r="L470" t="str">
        <f>IF(Table1[[#This Row],[Sales_Volume]]&gt;Table1[[#This Row],[Stock_Quantity]],"Pending","Fulfilled")</f>
        <v>Fulfilled</v>
      </c>
      <c r="M470">
        <v>5</v>
      </c>
      <c r="N470">
        <v>35</v>
      </c>
      <c r="O470" t="str">
        <f>IF(Table1[[#This Row],[Stock_Quantity]]&lt;=Table1[[#This Row],[Reorder_Level]],"Reoeder required","Sufficient")</f>
        <v>Sufficient</v>
      </c>
      <c r="P470" t="str">
        <f>IF(Table1[[#This Row],[Stock_Quantity]]=0,"Out of stock","Available")</f>
        <v>Available</v>
      </c>
    </row>
    <row r="471" spans="1:16" x14ac:dyDescent="0.3">
      <c r="A471" t="s">
        <v>1336</v>
      </c>
      <c r="B471" t="s">
        <v>556</v>
      </c>
      <c r="C471" t="s">
        <v>45</v>
      </c>
      <c r="D471" t="s">
        <v>1337</v>
      </c>
      <c r="E471">
        <v>23</v>
      </c>
      <c r="F471">
        <v>21</v>
      </c>
      <c r="G471">
        <v>59</v>
      </c>
      <c r="H471" s="1">
        <v>2.4</v>
      </c>
      <c r="I471" s="2">
        <v>45361</v>
      </c>
      <c r="J471" t="s">
        <v>1338</v>
      </c>
      <c r="K471">
        <v>81</v>
      </c>
      <c r="L471" t="str">
        <f>IF(Table1[[#This Row],[Sales_Volume]]&gt;Table1[[#This Row],[Stock_Quantity]],"Pending","Fulfilled")</f>
        <v>Pending</v>
      </c>
      <c r="M471">
        <v>8</v>
      </c>
      <c r="N471">
        <v>8</v>
      </c>
      <c r="O471" t="str">
        <f>IF(Table1[[#This Row],[Stock_Quantity]]&lt;=Table1[[#This Row],[Reorder_Level]],"Reoeder required","Sufficient")</f>
        <v>Sufficient</v>
      </c>
      <c r="P471" t="str">
        <f>IF(Table1[[#This Row],[Stock_Quantity]]=0,"Out of stock","Available")</f>
        <v>Available</v>
      </c>
    </row>
    <row r="472" spans="1:16" x14ac:dyDescent="0.3">
      <c r="A472" t="s">
        <v>1339</v>
      </c>
      <c r="B472" t="s">
        <v>1067</v>
      </c>
      <c r="C472" t="s">
        <v>65</v>
      </c>
      <c r="D472" t="s">
        <v>1340</v>
      </c>
      <c r="E472">
        <v>94</v>
      </c>
      <c r="F472">
        <v>34</v>
      </c>
      <c r="G472">
        <v>21</v>
      </c>
      <c r="H472" s="1">
        <v>5.5</v>
      </c>
      <c r="I472" s="2">
        <v>45371</v>
      </c>
      <c r="J472" t="s">
        <v>1341</v>
      </c>
      <c r="K472">
        <v>74</v>
      </c>
      <c r="L472" t="str">
        <f>IF(Table1[[#This Row],[Sales_Volume]]&gt;Table1[[#This Row],[Stock_Quantity]],"Pending","Fulfilled")</f>
        <v>Fulfilled</v>
      </c>
      <c r="M472">
        <v>4</v>
      </c>
      <c r="N472">
        <v>70</v>
      </c>
      <c r="O472" t="str">
        <f>IF(Table1[[#This Row],[Stock_Quantity]]&lt;=Table1[[#This Row],[Reorder_Level]],"Reoeder required","Sufficient")</f>
        <v>Sufficient</v>
      </c>
      <c r="P472" t="str">
        <f>IF(Table1[[#This Row],[Stock_Quantity]]=0,"Out of stock","Available")</f>
        <v>Available</v>
      </c>
    </row>
    <row r="473" spans="1:16" x14ac:dyDescent="0.3">
      <c r="A473" t="s">
        <v>1342</v>
      </c>
      <c r="B473" t="s">
        <v>743</v>
      </c>
      <c r="C473" t="s">
        <v>65</v>
      </c>
      <c r="D473" t="s">
        <v>485</v>
      </c>
      <c r="E473">
        <v>38</v>
      </c>
      <c r="F473">
        <v>43</v>
      </c>
      <c r="G473">
        <v>91</v>
      </c>
      <c r="H473" s="1">
        <v>4</v>
      </c>
      <c r="I473" s="2">
        <v>45522</v>
      </c>
      <c r="J473" t="s">
        <v>1343</v>
      </c>
      <c r="K473">
        <v>72</v>
      </c>
      <c r="L473" t="str">
        <f>IF(Table1[[#This Row],[Sales_Volume]]&gt;Table1[[#This Row],[Stock_Quantity]],"Pending","Fulfilled")</f>
        <v>Pending</v>
      </c>
      <c r="M473">
        <v>3</v>
      </c>
      <c r="N473">
        <v>64</v>
      </c>
      <c r="O473" t="str">
        <f>IF(Table1[[#This Row],[Stock_Quantity]]&lt;=Table1[[#This Row],[Reorder_Level]],"Reoeder required","Sufficient")</f>
        <v>Reoeder required</v>
      </c>
      <c r="P473" t="str">
        <f>IF(Table1[[#This Row],[Stock_Quantity]]=0,"Out of stock","Available")</f>
        <v>Available</v>
      </c>
    </row>
    <row r="474" spans="1:16" x14ac:dyDescent="0.3">
      <c r="A474" t="s">
        <v>1344</v>
      </c>
      <c r="B474" t="s">
        <v>895</v>
      </c>
      <c r="C474" t="s">
        <v>45</v>
      </c>
      <c r="D474" t="s">
        <v>511</v>
      </c>
      <c r="E474">
        <v>11</v>
      </c>
      <c r="F474">
        <v>9</v>
      </c>
      <c r="G474">
        <v>65</v>
      </c>
      <c r="H474" s="1">
        <v>2</v>
      </c>
      <c r="I474" s="2">
        <v>45630</v>
      </c>
      <c r="J474" t="s">
        <v>1345</v>
      </c>
      <c r="K474">
        <v>48</v>
      </c>
      <c r="L474" t="str">
        <f>IF(Table1[[#This Row],[Sales_Volume]]&gt;Table1[[#This Row],[Stock_Quantity]],"Pending","Fulfilled")</f>
        <v>Pending</v>
      </c>
      <c r="M474">
        <v>6</v>
      </c>
      <c r="N474">
        <v>96</v>
      </c>
      <c r="O474" t="str">
        <f>IF(Table1[[#This Row],[Stock_Quantity]]&lt;=Table1[[#This Row],[Reorder_Level]],"Reoeder required","Sufficient")</f>
        <v>Sufficient</v>
      </c>
      <c r="P474" t="str">
        <f>IF(Table1[[#This Row],[Stock_Quantity]]=0,"Out of stock","Available")</f>
        <v>Available</v>
      </c>
    </row>
    <row r="475" spans="1:16" x14ac:dyDescent="0.3">
      <c r="A475" t="s">
        <v>1346</v>
      </c>
      <c r="B475" t="s">
        <v>258</v>
      </c>
      <c r="C475" t="s">
        <v>18</v>
      </c>
      <c r="D475" t="s">
        <v>1176</v>
      </c>
      <c r="E475">
        <v>60</v>
      </c>
      <c r="F475">
        <v>27</v>
      </c>
      <c r="G475">
        <v>58</v>
      </c>
      <c r="H475" s="1">
        <v>25.3</v>
      </c>
      <c r="I475" s="2">
        <v>45470</v>
      </c>
      <c r="J475" t="s">
        <v>1347</v>
      </c>
      <c r="K475">
        <v>43</v>
      </c>
      <c r="L475" t="str">
        <f>IF(Table1[[#This Row],[Sales_Volume]]&gt;Table1[[#This Row],[Stock_Quantity]],"Pending","Fulfilled")</f>
        <v>Fulfilled</v>
      </c>
      <c r="M475">
        <v>7</v>
      </c>
      <c r="N475">
        <v>91</v>
      </c>
      <c r="O475" t="str">
        <f>IF(Table1[[#This Row],[Stock_Quantity]]&lt;=Table1[[#This Row],[Reorder_Level]],"Reoeder required","Sufficient")</f>
        <v>Sufficient</v>
      </c>
      <c r="P475" t="str">
        <f>IF(Table1[[#This Row],[Stock_Quantity]]=0,"Out of stock","Available")</f>
        <v>Available</v>
      </c>
    </row>
    <row r="476" spans="1:16" x14ac:dyDescent="0.3">
      <c r="A476" t="s">
        <v>1348</v>
      </c>
      <c r="B476" t="s">
        <v>462</v>
      </c>
      <c r="C476" t="s">
        <v>40</v>
      </c>
      <c r="D476" t="s">
        <v>229</v>
      </c>
      <c r="E476">
        <v>50</v>
      </c>
      <c r="F476">
        <v>36</v>
      </c>
      <c r="G476">
        <v>81</v>
      </c>
      <c r="H476" s="1">
        <v>10</v>
      </c>
      <c r="I476" s="2">
        <v>45424</v>
      </c>
      <c r="J476" t="s">
        <v>1349</v>
      </c>
      <c r="K476">
        <v>27</v>
      </c>
      <c r="L476" t="str">
        <f>IF(Table1[[#This Row],[Sales_Volume]]&gt;Table1[[#This Row],[Stock_Quantity]],"Pending","Fulfilled")</f>
        <v>Fulfilled</v>
      </c>
      <c r="M476">
        <v>5</v>
      </c>
      <c r="N476">
        <v>6</v>
      </c>
      <c r="O476" t="str">
        <f>IF(Table1[[#This Row],[Stock_Quantity]]&lt;=Table1[[#This Row],[Reorder_Level]],"Reoeder required","Sufficient")</f>
        <v>Sufficient</v>
      </c>
      <c r="P476" t="str">
        <f>IF(Table1[[#This Row],[Stock_Quantity]]=0,"Out of stock","Available")</f>
        <v>Available</v>
      </c>
    </row>
    <row r="477" spans="1:16" x14ac:dyDescent="0.3">
      <c r="A477" t="s">
        <v>1350</v>
      </c>
      <c r="B477" t="s">
        <v>44</v>
      </c>
      <c r="C477" t="s">
        <v>45</v>
      </c>
      <c r="D477" t="s">
        <v>699</v>
      </c>
      <c r="E477">
        <v>90</v>
      </c>
      <c r="F477">
        <v>3</v>
      </c>
      <c r="G477">
        <v>49</v>
      </c>
      <c r="H477" s="1">
        <v>2.5</v>
      </c>
      <c r="I477" s="2">
        <v>45415</v>
      </c>
      <c r="J477" t="s">
        <v>1351</v>
      </c>
      <c r="K477">
        <v>51</v>
      </c>
      <c r="L477" t="str">
        <f>IF(Table1[[#This Row],[Sales_Volume]]&gt;Table1[[#This Row],[Stock_Quantity]],"Pending","Fulfilled")</f>
        <v>Fulfilled</v>
      </c>
      <c r="M477">
        <v>5</v>
      </c>
      <c r="N477">
        <v>87</v>
      </c>
      <c r="O477" t="str">
        <f>IF(Table1[[#This Row],[Stock_Quantity]]&lt;=Table1[[#This Row],[Reorder_Level]],"Reoeder required","Sufficient")</f>
        <v>Sufficient</v>
      </c>
      <c r="P477" t="str">
        <f>IF(Table1[[#This Row],[Stock_Quantity]]=0,"Out of stock","Available")</f>
        <v>Available</v>
      </c>
    </row>
    <row r="478" spans="1:16" x14ac:dyDescent="0.3">
      <c r="A478" t="s">
        <v>1352</v>
      </c>
      <c r="B478" t="s">
        <v>296</v>
      </c>
      <c r="C478" t="s">
        <v>13</v>
      </c>
      <c r="D478" t="s">
        <v>945</v>
      </c>
      <c r="E478">
        <v>86</v>
      </c>
      <c r="F478">
        <v>80</v>
      </c>
      <c r="G478">
        <v>80</v>
      </c>
      <c r="H478" s="1">
        <v>4.5</v>
      </c>
      <c r="I478" s="2">
        <v>45425</v>
      </c>
      <c r="J478" t="s">
        <v>1353</v>
      </c>
      <c r="K478">
        <v>22</v>
      </c>
      <c r="L478" t="str">
        <f>IF(Table1[[#This Row],[Sales_Volume]]&gt;Table1[[#This Row],[Stock_Quantity]],"Pending","Fulfilled")</f>
        <v>Fulfilled</v>
      </c>
      <c r="M478">
        <v>3</v>
      </c>
      <c r="N478">
        <v>67</v>
      </c>
      <c r="O478" t="str">
        <f>IF(Table1[[#This Row],[Stock_Quantity]]&lt;=Table1[[#This Row],[Reorder_Level]],"Reoeder required","Sufficient")</f>
        <v>Sufficient</v>
      </c>
      <c r="P478" t="str">
        <f>IF(Table1[[#This Row],[Stock_Quantity]]=0,"Out of stock","Available")</f>
        <v>Available</v>
      </c>
    </row>
    <row r="479" spans="1:16" x14ac:dyDescent="0.3">
      <c r="A479" t="s">
        <v>1354</v>
      </c>
      <c r="B479" t="s">
        <v>455</v>
      </c>
      <c r="C479" t="s">
        <v>31</v>
      </c>
      <c r="D479" t="s">
        <v>498</v>
      </c>
      <c r="E479">
        <v>86</v>
      </c>
      <c r="F479">
        <v>66</v>
      </c>
      <c r="G479">
        <v>24</v>
      </c>
      <c r="H479" s="1">
        <v>2.5</v>
      </c>
      <c r="I479" s="2">
        <v>45692</v>
      </c>
      <c r="J479" t="s">
        <v>1355</v>
      </c>
      <c r="K479">
        <v>30</v>
      </c>
      <c r="L479" t="str">
        <f>IF(Table1[[#This Row],[Sales_Volume]]&gt;Table1[[#This Row],[Stock_Quantity]],"Pending","Fulfilled")</f>
        <v>Fulfilled</v>
      </c>
      <c r="M479">
        <v>4</v>
      </c>
      <c r="N479">
        <v>6</v>
      </c>
      <c r="O479" t="str">
        <f>IF(Table1[[#This Row],[Stock_Quantity]]&lt;=Table1[[#This Row],[Reorder_Level]],"Reoeder required","Sufficient")</f>
        <v>Sufficient</v>
      </c>
      <c r="P479" t="str">
        <f>IF(Table1[[#This Row],[Stock_Quantity]]=0,"Out of stock","Available")</f>
        <v>Available</v>
      </c>
    </row>
    <row r="480" spans="1:16" x14ac:dyDescent="0.3">
      <c r="A480" t="s">
        <v>1356</v>
      </c>
      <c r="B480" t="s">
        <v>385</v>
      </c>
      <c r="C480" t="s">
        <v>13</v>
      </c>
      <c r="D480" t="s">
        <v>147</v>
      </c>
      <c r="E480">
        <v>54</v>
      </c>
      <c r="F480">
        <v>17</v>
      </c>
      <c r="G480">
        <v>90</v>
      </c>
      <c r="H480" s="1">
        <v>9.5</v>
      </c>
      <c r="I480" s="2">
        <v>45511</v>
      </c>
      <c r="J480" t="s">
        <v>1357</v>
      </c>
      <c r="K480">
        <v>60</v>
      </c>
      <c r="L480" t="str">
        <f>IF(Table1[[#This Row],[Sales_Volume]]&gt;Table1[[#This Row],[Stock_Quantity]],"Pending","Fulfilled")</f>
        <v>Pending</v>
      </c>
      <c r="M480">
        <v>3</v>
      </c>
      <c r="N480">
        <v>20</v>
      </c>
      <c r="O480" t="str">
        <f>IF(Table1[[#This Row],[Stock_Quantity]]&lt;=Table1[[#This Row],[Reorder_Level]],"Reoeder required","Sufficient")</f>
        <v>Sufficient</v>
      </c>
      <c r="P480" t="str">
        <f>IF(Table1[[#This Row],[Stock_Quantity]]=0,"Out of stock","Available")</f>
        <v>Available</v>
      </c>
    </row>
    <row r="481" spans="1:16" x14ac:dyDescent="0.3">
      <c r="A481" t="s">
        <v>1358</v>
      </c>
      <c r="B481" t="s">
        <v>595</v>
      </c>
      <c r="C481" t="s">
        <v>31</v>
      </c>
      <c r="D481" t="s">
        <v>981</v>
      </c>
      <c r="E481">
        <v>27</v>
      </c>
      <c r="F481">
        <v>64</v>
      </c>
      <c r="G481">
        <v>43</v>
      </c>
      <c r="H481" s="1">
        <v>3</v>
      </c>
      <c r="I481" s="2">
        <v>45626</v>
      </c>
      <c r="J481" t="s">
        <v>1359</v>
      </c>
      <c r="K481">
        <v>70</v>
      </c>
      <c r="L481" t="str">
        <f>IF(Table1[[#This Row],[Sales_Volume]]&gt;Table1[[#This Row],[Stock_Quantity]],"Pending","Fulfilled")</f>
        <v>Pending</v>
      </c>
      <c r="M481">
        <v>4</v>
      </c>
      <c r="N481">
        <v>58</v>
      </c>
      <c r="O481" t="str">
        <f>IF(Table1[[#This Row],[Stock_Quantity]]&lt;=Table1[[#This Row],[Reorder_Level]],"Reoeder required","Sufficient")</f>
        <v>Reoeder required</v>
      </c>
      <c r="P481" t="str">
        <f>IF(Table1[[#This Row],[Stock_Quantity]]=0,"Out of stock","Available")</f>
        <v>Available</v>
      </c>
    </row>
    <row r="482" spans="1:16" x14ac:dyDescent="0.3">
      <c r="A482" t="s">
        <v>1360</v>
      </c>
      <c r="B482" t="s">
        <v>64</v>
      </c>
      <c r="C482" t="s">
        <v>65</v>
      </c>
      <c r="D482" t="s">
        <v>1040</v>
      </c>
      <c r="E482">
        <v>50</v>
      </c>
      <c r="F482">
        <v>58</v>
      </c>
      <c r="G482">
        <v>78</v>
      </c>
      <c r="H482" s="1">
        <v>3</v>
      </c>
      <c r="I482" s="2">
        <v>45399</v>
      </c>
      <c r="J482" t="s">
        <v>1361</v>
      </c>
      <c r="K482">
        <v>83</v>
      </c>
      <c r="L482" t="str">
        <f>IF(Table1[[#This Row],[Sales_Volume]]&gt;Table1[[#This Row],[Stock_Quantity]],"Pending","Fulfilled")</f>
        <v>Pending</v>
      </c>
      <c r="M482">
        <v>8</v>
      </c>
      <c r="N482">
        <v>49</v>
      </c>
      <c r="O482" t="str">
        <f>IF(Table1[[#This Row],[Stock_Quantity]]&lt;=Table1[[#This Row],[Reorder_Level]],"Reoeder required","Sufficient")</f>
        <v>Reoeder required</v>
      </c>
      <c r="P482" t="str">
        <f>IF(Table1[[#This Row],[Stock_Quantity]]=0,"Out of stock","Available")</f>
        <v>Available</v>
      </c>
    </row>
    <row r="483" spans="1:16" x14ac:dyDescent="0.3">
      <c r="A483" t="s">
        <v>1362</v>
      </c>
      <c r="B483" t="s">
        <v>154</v>
      </c>
      <c r="C483" t="s">
        <v>31</v>
      </c>
      <c r="D483" t="s">
        <v>710</v>
      </c>
      <c r="E483">
        <v>68</v>
      </c>
      <c r="F483">
        <v>10</v>
      </c>
      <c r="G483">
        <v>29</v>
      </c>
      <c r="H483" s="1">
        <v>2</v>
      </c>
      <c r="I483" s="2">
        <v>45450</v>
      </c>
      <c r="J483" t="s">
        <v>1363</v>
      </c>
      <c r="K483">
        <v>37</v>
      </c>
      <c r="L483" t="str">
        <f>IF(Table1[[#This Row],[Sales_Volume]]&gt;Table1[[#This Row],[Stock_Quantity]],"Pending","Fulfilled")</f>
        <v>Fulfilled</v>
      </c>
      <c r="M483">
        <v>7</v>
      </c>
      <c r="N483">
        <v>11</v>
      </c>
      <c r="O483" t="str">
        <f>IF(Table1[[#This Row],[Stock_Quantity]]&lt;=Table1[[#This Row],[Reorder_Level]],"Reoeder required","Sufficient")</f>
        <v>Sufficient</v>
      </c>
      <c r="P483" t="str">
        <f>IF(Table1[[#This Row],[Stock_Quantity]]=0,"Out of stock","Available")</f>
        <v>Available</v>
      </c>
    </row>
    <row r="484" spans="1:16" x14ac:dyDescent="0.3">
      <c r="A484" t="s">
        <v>1364</v>
      </c>
      <c r="B484" t="s">
        <v>204</v>
      </c>
      <c r="C484" t="s">
        <v>65</v>
      </c>
      <c r="D484" t="s">
        <v>583</v>
      </c>
      <c r="E484">
        <v>22</v>
      </c>
      <c r="F484">
        <v>60</v>
      </c>
      <c r="G484">
        <v>73</v>
      </c>
      <c r="H484" s="1">
        <v>4.2</v>
      </c>
      <c r="I484" s="2">
        <v>45604</v>
      </c>
      <c r="J484" t="s">
        <v>1365</v>
      </c>
      <c r="K484">
        <v>62</v>
      </c>
      <c r="L484" t="str">
        <f>IF(Table1[[#This Row],[Sales_Volume]]&gt;Table1[[#This Row],[Stock_Quantity]],"Pending","Fulfilled")</f>
        <v>Pending</v>
      </c>
      <c r="M484">
        <v>2</v>
      </c>
      <c r="N484">
        <v>3</v>
      </c>
      <c r="O484" t="str">
        <f>IF(Table1[[#This Row],[Stock_Quantity]]&lt;=Table1[[#This Row],[Reorder_Level]],"Reoeder required","Sufficient")</f>
        <v>Reoeder required</v>
      </c>
      <c r="P484" t="str">
        <f>IF(Table1[[#This Row],[Stock_Quantity]]=0,"Out of stock","Available")</f>
        <v>Available</v>
      </c>
    </row>
    <row r="485" spans="1:16" x14ac:dyDescent="0.3">
      <c r="A485" t="s">
        <v>1366</v>
      </c>
      <c r="B485" t="s">
        <v>346</v>
      </c>
      <c r="C485" t="s">
        <v>45</v>
      </c>
      <c r="D485" t="s">
        <v>772</v>
      </c>
      <c r="E485">
        <v>50</v>
      </c>
      <c r="F485">
        <v>14</v>
      </c>
      <c r="G485">
        <v>6</v>
      </c>
      <c r="H485" s="1">
        <v>9.1999999999999993</v>
      </c>
      <c r="I485" s="2">
        <v>45645</v>
      </c>
      <c r="J485" t="s">
        <v>1367</v>
      </c>
      <c r="K485">
        <v>60</v>
      </c>
      <c r="L485" t="str">
        <f>IF(Table1[[#This Row],[Sales_Volume]]&gt;Table1[[#This Row],[Stock_Quantity]],"Pending","Fulfilled")</f>
        <v>Pending</v>
      </c>
      <c r="M485">
        <v>2</v>
      </c>
      <c r="N485">
        <v>72</v>
      </c>
      <c r="O485" t="str">
        <f>IF(Table1[[#This Row],[Stock_Quantity]]&lt;=Table1[[#This Row],[Reorder_Level]],"Reoeder required","Sufficient")</f>
        <v>Sufficient</v>
      </c>
      <c r="P485" t="str">
        <f>IF(Table1[[#This Row],[Stock_Quantity]]=0,"Out of stock","Available")</f>
        <v>Available</v>
      </c>
    </row>
    <row r="486" spans="1:16" x14ac:dyDescent="0.3">
      <c r="A486" t="s">
        <v>1368</v>
      </c>
      <c r="B486" t="s">
        <v>283</v>
      </c>
      <c r="C486" t="s">
        <v>31</v>
      </c>
      <c r="D486" t="s">
        <v>1369</v>
      </c>
      <c r="E486">
        <v>26</v>
      </c>
      <c r="F486">
        <v>12</v>
      </c>
      <c r="G486">
        <v>43</v>
      </c>
      <c r="H486" s="1">
        <v>4.4000000000000004</v>
      </c>
      <c r="I486" s="2">
        <v>45551</v>
      </c>
      <c r="J486" t="s">
        <v>1370</v>
      </c>
      <c r="K486">
        <v>73</v>
      </c>
      <c r="L486" t="str">
        <f>IF(Table1[[#This Row],[Sales_Volume]]&gt;Table1[[#This Row],[Stock_Quantity]],"Pending","Fulfilled")</f>
        <v>Pending</v>
      </c>
      <c r="M486">
        <v>8</v>
      </c>
      <c r="N486">
        <v>20</v>
      </c>
      <c r="O486" t="str">
        <f>IF(Table1[[#This Row],[Stock_Quantity]]&lt;=Table1[[#This Row],[Reorder_Level]],"Reoeder required","Sufficient")</f>
        <v>Sufficient</v>
      </c>
      <c r="P486" t="str">
        <f>IF(Table1[[#This Row],[Stock_Quantity]]=0,"Out of stock","Available")</f>
        <v>Available</v>
      </c>
    </row>
    <row r="487" spans="1:16" x14ac:dyDescent="0.3">
      <c r="A487" t="s">
        <v>1371</v>
      </c>
      <c r="B487" t="s">
        <v>258</v>
      </c>
      <c r="C487" t="s">
        <v>18</v>
      </c>
      <c r="D487" t="s">
        <v>1372</v>
      </c>
      <c r="E487">
        <v>62</v>
      </c>
      <c r="F487">
        <v>31</v>
      </c>
      <c r="G487">
        <v>24</v>
      </c>
      <c r="H487" s="1">
        <v>25</v>
      </c>
      <c r="I487" s="2">
        <v>45453</v>
      </c>
      <c r="J487" t="s">
        <v>1373</v>
      </c>
      <c r="K487">
        <v>89</v>
      </c>
      <c r="L487" t="str">
        <f>IF(Table1[[#This Row],[Sales_Volume]]&gt;Table1[[#This Row],[Stock_Quantity]],"Pending","Fulfilled")</f>
        <v>Pending</v>
      </c>
      <c r="M487">
        <v>2</v>
      </c>
      <c r="N487">
        <v>100</v>
      </c>
      <c r="O487" t="str">
        <f>IF(Table1[[#This Row],[Stock_Quantity]]&lt;=Table1[[#This Row],[Reorder_Level]],"Reoeder required","Sufficient")</f>
        <v>Sufficient</v>
      </c>
      <c r="P487" t="str">
        <f>IF(Table1[[#This Row],[Stock_Quantity]]=0,"Out of stock","Available")</f>
        <v>Available</v>
      </c>
    </row>
    <row r="488" spans="1:16" x14ac:dyDescent="0.3">
      <c r="A488" t="s">
        <v>1374</v>
      </c>
      <c r="B488" t="s">
        <v>268</v>
      </c>
      <c r="C488" t="s">
        <v>31</v>
      </c>
      <c r="D488" t="s">
        <v>214</v>
      </c>
      <c r="E488">
        <v>79</v>
      </c>
      <c r="F488">
        <v>72</v>
      </c>
      <c r="G488">
        <v>6</v>
      </c>
      <c r="H488" s="1">
        <v>4</v>
      </c>
      <c r="I488" s="2">
        <v>45418</v>
      </c>
      <c r="J488" t="s">
        <v>1375</v>
      </c>
      <c r="K488">
        <v>67</v>
      </c>
      <c r="L488" t="str">
        <f>IF(Table1[[#This Row],[Sales_Volume]]&gt;Table1[[#This Row],[Stock_Quantity]],"Pending","Fulfilled")</f>
        <v>Fulfilled</v>
      </c>
      <c r="M488">
        <v>3</v>
      </c>
      <c r="N488">
        <v>63</v>
      </c>
      <c r="O488" t="str">
        <f>IF(Table1[[#This Row],[Stock_Quantity]]&lt;=Table1[[#This Row],[Reorder_Level]],"Reoeder required","Sufficient")</f>
        <v>Sufficient</v>
      </c>
      <c r="P488" t="str">
        <f>IF(Table1[[#This Row],[Stock_Quantity]]=0,"Out of stock","Available")</f>
        <v>Available</v>
      </c>
    </row>
    <row r="489" spans="1:16" x14ac:dyDescent="0.3">
      <c r="A489" t="s">
        <v>1376</v>
      </c>
      <c r="B489" t="s">
        <v>425</v>
      </c>
      <c r="C489" t="s">
        <v>31</v>
      </c>
      <c r="D489" t="s">
        <v>1074</v>
      </c>
      <c r="E489">
        <v>73</v>
      </c>
      <c r="F489">
        <v>90</v>
      </c>
      <c r="G489">
        <v>77</v>
      </c>
      <c r="H489" s="1">
        <v>4</v>
      </c>
      <c r="I489" s="2">
        <v>45519</v>
      </c>
      <c r="J489" t="s">
        <v>1377</v>
      </c>
      <c r="K489">
        <v>75</v>
      </c>
      <c r="L489" t="str">
        <f>IF(Table1[[#This Row],[Sales_Volume]]&gt;Table1[[#This Row],[Stock_Quantity]],"Pending","Fulfilled")</f>
        <v>Pending</v>
      </c>
      <c r="M489">
        <v>5</v>
      </c>
      <c r="N489">
        <v>19</v>
      </c>
      <c r="O489" t="str">
        <f>IF(Table1[[#This Row],[Stock_Quantity]]&lt;=Table1[[#This Row],[Reorder_Level]],"Reoeder required","Sufficient")</f>
        <v>Reoeder required</v>
      </c>
      <c r="P489" t="str">
        <f>IF(Table1[[#This Row],[Stock_Quantity]]=0,"Out of stock","Available")</f>
        <v>Available</v>
      </c>
    </row>
    <row r="490" spans="1:16" x14ac:dyDescent="0.3">
      <c r="A490" t="s">
        <v>1378</v>
      </c>
      <c r="B490" t="s">
        <v>239</v>
      </c>
      <c r="C490" t="s">
        <v>31</v>
      </c>
      <c r="D490" t="s">
        <v>580</v>
      </c>
      <c r="E490">
        <v>18</v>
      </c>
      <c r="F490">
        <v>50</v>
      </c>
      <c r="G490">
        <v>77</v>
      </c>
      <c r="H490" s="1">
        <v>1.45</v>
      </c>
      <c r="I490" s="2">
        <v>45534</v>
      </c>
      <c r="J490" t="s">
        <v>1379</v>
      </c>
      <c r="K490">
        <v>44</v>
      </c>
      <c r="L490" t="str">
        <f>IF(Table1[[#This Row],[Sales_Volume]]&gt;Table1[[#This Row],[Stock_Quantity]],"Pending","Fulfilled")</f>
        <v>Pending</v>
      </c>
      <c r="M490">
        <v>6</v>
      </c>
      <c r="N490">
        <v>19</v>
      </c>
      <c r="O490" t="str">
        <f>IF(Table1[[#This Row],[Stock_Quantity]]&lt;=Table1[[#This Row],[Reorder_Level]],"Reoeder required","Sufficient")</f>
        <v>Reoeder required</v>
      </c>
      <c r="P490" t="str">
        <f>IF(Table1[[#This Row],[Stock_Quantity]]=0,"Out of stock","Available")</f>
        <v>Available</v>
      </c>
    </row>
    <row r="491" spans="1:16" x14ac:dyDescent="0.3">
      <c r="A491" t="s">
        <v>1380</v>
      </c>
      <c r="B491" t="s">
        <v>757</v>
      </c>
      <c r="C491" t="s">
        <v>31</v>
      </c>
      <c r="D491" t="s">
        <v>435</v>
      </c>
      <c r="E491">
        <v>79</v>
      </c>
      <c r="F491">
        <v>74</v>
      </c>
      <c r="G491">
        <v>87</v>
      </c>
      <c r="H491" s="1">
        <v>4</v>
      </c>
      <c r="I491" s="2">
        <v>45391</v>
      </c>
      <c r="J491" t="s">
        <v>1381</v>
      </c>
      <c r="K491">
        <v>80</v>
      </c>
      <c r="L491" t="str">
        <f>IF(Table1[[#This Row],[Sales_Volume]]&gt;Table1[[#This Row],[Stock_Quantity]],"Pending","Fulfilled")</f>
        <v>Pending</v>
      </c>
      <c r="M491">
        <v>7</v>
      </c>
      <c r="N491">
        <v>26</v>
      </c>
      <c r="O491" t="str">
        <f>IF(Table1[[#This Row],[Stock_Quantity]]&lt;=Table1[[#This Row],[Reorder_Level]],"Reoeder required","Sufficient")</f>
        <v>Sufficient</v>
      </c>
      <c r="P491" t="str">
        <f>IF(Table1[[#This Row],[Stock_Quantity]]=0,"Out of stock","Available")</f>
        <v>Available</v>
      </c>
    </row>
    <row r="492" spans="1:16" x14ac:dyDescent="0.3">
      <c r="A492" t="s">
        <v>1382</v>
      </c>
      <c r="B492" t="s">
        <v>17</v>
      </c>
      <c r="C492" t="s">
        <v>18</v>
      </c>
      <c r="D492" t="s">
        <v>191</v>
      </c>
      <c r="E492">
        <v>23</v>
      </c>
      <c r="F492">
        <v>13</v>
      </c>
      <c r="G492">
        <v>15</v>
      </c>
      <c r="H492" s="1">
        <v>20</v>
      </c>
      <c r="I492" s="2">
        <v>45433</v>
      </c>
      <c r="J492" t="s">
        <v>1383</v>
      </c>
      <c r="K492">
        <v>31</v>
      </c>
      <c r="L492" t="str">
        <f>IF(Table1[[#This Row],[Sales_Volume]]&gt;Table1[[#This Row],[Stock_Quantity]],"Pending","Fulfilled")</f>
        <v>Pending</v>
      </c>
      <c r="M492">
        <v>3</v>
      </c>
      <c r="N492">
        <v>28</v>
      </c>
      <c r="O492" t="str">
        <f>IF(Table1[[#This Row],[Stock_Quantity]]&lt;=Table1[[#This Row],[Reorder_Level]],"Reoeder required","Sufficient")</f>
        <v>Sufficient</v>
      </c>
      <c r="P492" t="str">
        <f>IF(Table1[[#This Row],[Stock_Quantity]]=0,"Out of stock","Available")</f>
        <v>Available</v>
      </c>
    </row>
    <row r="493" spans="1:16" x14ac:dyDescent="0.3">
      <c r="A493" t="s">
        <v>1384</v>
      </c>
      <c r="B493" t="s">
        <v>827</v>
      </c>
      <c r="C493" t="s">
        <v>45</v>
      </c>
      <c r="D493" t="s">
        <v>1385</v>
      </c>
      <c r="E493">
        <v>18</v>
      </c>
      <c r="F493">
        <v>64</v>
      </c>
      <c r="G493">
        <v>86</v>
      </c>
      <c r="H493" s="1">
        <v>1</v>
      </c>
      <c r="I493" s="2">
        <v>45452</v>
      </c>
      <c r="J493" t="s">
        <v>1386</v>
      </c>
      <c r="K493">
        <v>73</v>
      </c>
      <c r="L493" t="str">
        <f>IF(Table1[[#This Row],[Sales_Volume]]&gt;Table1[[#This Row],[Stock_Quantity]],"Pending","Fulfilled")</f>
        <v>Pending</v>
      </c>
      <c r="M493">
        <v>4</v>
      </c>
      <c r="N493">
        <v>38</v>
      </c>
      <c r="O493" t="str">
        <f>IF(Table1[[#This Row],[Stock_Quantity]]&lt;=Table1[[#This Row],[Reorder_Level]],"Reoeder required","Sufficient")</f>
        <v>Reoeder required</v>
      </c>
      <c r="P493" t="str">
        <f>IF(Table1[[#This Row],[Stock_Quantity]]=0,"Out of stock","Available")</f>
        <v>Available</v>
      </c>
    </row>
    <row r="494" spans="1:16" x14ac:dyDescent="0.3">
      <c r="A494" t="s">
        <v>1387</v>
      </c>
      <c r="B494" t="s">
        <v>657</v>
      </c>
      <c r="C494" t="s">
        <v>40</v>
      </c>
      <c r="D494" t="s">
        <v>592</v>
      </c>
      <c r="E494">
        <v>24</v>
      </c>
      <c r="F494">
        <v>35</v>
      </c>
      <c r="G494">
        <v>14</v>
      </c>
      <c r="H494" s="1">
        <v>2.5</v>
      </c>
      <c r="I494" s="2">
        <v>45467</v>
      </c>
      <c r="J494" t="s">
        <v>1388</v>
      </c>
      <c r="K494">
        <v>91</v>
      </c>
      <c r="L494" t="str">
        <f>IF(Table1[[#This Row],[Sales_Volume]]&gt;Table1[[#This Row],[Stock_Quantity]],"Pending","Fulfilled")</f>
        <v>Pending</v>
      </c>
      <c r="M494">
        <v>7</v>
      </c>
      <c r="N494">
        <v>71</v>
      </c>
      <c r="O494" t="str">
        <f>IF(Table1[[#This Row],[Stock_Quantity]]&lt;=Table1[[#This Row],[Reorder_Level]],"Reoeder required","Sufficient")</f>
        <v>Reoeder required</v>
      </c>
      <c r="P494" t="str">
        <f>IF(Table1[[#This Row],[Stock_Quantity]]=0,"Out of stock","Available")</f>
        <v>Available</v>
      </c>
    </row>
    <row r="495" spans="1:16" x14ac:dyDescent="0.3">
      <c r="A495" t="s">
        <v>1389</v>
      </c>
      <c r="B495" t="s">
        <v>595</v>
      </c>
      <c r="C495" t="s">
        <v>31</v>
      </c>
      <c r="D495" t="s">
        <v>466</v>
      </c>
      <c r="E495">
        <v>53</v>
      </c>
      <c r="F495">
        <v>41</v>
      </c>
      <c r="G495">
        <v>30</v>
      </c>
      <c r="H495" s="1">
        <v>3</v>
      </c>
      <c r="I495" s="2">
        <v>45670</v>
      </c>
      <c r="J495" t="s">
        <v>1390</v>
      </c>
      <c r="K495">
        <v>24</v>
      </c>
      <c r="L495" t="str">
        <f>IF(Table1[[#This Row],[Sales_Volume]]&gt;Table1[[#This Row],[Stock_Quantity]],"Pending","Fulfilled")</f>
        <v>Fulfilled</v>
      </c>
      <c r="M495">
        <v>6</v>
      </c>
      <c r="N495">
        <v>77</v>
      </c>
      <c r="O495" t="str">
        <f>IF(Table1[[#This Row],[Stock_Quantity]]&lt;=Table1[[#This Row],[Reorder_Level]],"Reoeder required","Sufficient")</f>
        <v>Sufficient</v>
      </c>
      <c r="P495" t="str">
        <f>IF(Table1[[#This Row],[Stock_Quantity]]=0,"Out of stock","Available")</f>
        <v>Available</v>
      </c>
    </row>
    <row r="496" spans="1:16" x14ac:dyDescent="0.3">
      <c r="A496" t="s">
        <v>1391</v>
      </c>
      <c r="B496" t="s">
        <v>914</v>
      </c>
      <c r="C496" t="s">
        <v>45</v>
      </c>
      <c r="D496" t="s">
        <v>328</v>
      </c>
      <c r="E496">
        <v>85</v>
      </c>
      <c r="F496">
        <v>83</v>
      </c>
      <c r="G496">
        <v>13</v>
      </c>
      <c r="H496" s="1">
        <v>1.75</v>
      </c>
      <c r="I496" s="2">
        <v>45368</v>
      </c>
      <c r="J496" t="s">
        <v>1392</v>
      </c>
      <c r="K496">
        <v>49</v>
      </c>
      <c r="L496" t="str">
        <f>IF(Table1[[#This Row],[Sales_Volume]]&gt;Table1[[#This Row],[Stock_Quantity]],"Pending","Fulfilled")</f>
        <v>Fulfilled</v>
      </c>
      <c r="M496">
        <v>2</v>
      </c>
      <c r="N496">
        <v>75</v>
      </c>
      <c r="O496" t="str">
        <f>IF(Table1[[#This Row],[Stock_Quantity]]&lt;=Table1[[#This Row],[Reorder_Level]],"Reoeder required","Sufficient")</f>
        <v>Sufficient</v>
      </c>
      <c r="P496" t="str">
        <f>IF(Table1[[#This Row],[Stock_Quantity]]=0,"Out of stock","Available")</f>
        <v>Available</v>
      </c>
    </row>
    <row r="497" spans="1:16" x14ac:dyDescent="0.3">
      <c r="A497" t="s">
        <v>1393</v>
      </c>
      <c r="B497" t="s">
        <v>563</v>
      </c>
      <c r="C497" t="s">
        <v>40</v>
      </c>
      <c r="D497" t="s">
        <v>915</v>
      </c>
      <c r="E497">
        <v>15</v>
      </c>
      <c r="F497">
        <v>34</v>
      </c>
      <c r="G497">
        <v>57</v>
      </c>
      <c r="H497" s="1">
        <v>6.5</v>
      </c>
      <c r="I497" s="2">
        <v>45669</v>
      </c>
      <c r="J497" t="s">
        <v>1394</v>
      </c>
      <c r="K497">
        <v>49</v>
      </c>
      <c r="L497" t="str">
        <f>IF(Table1[[#This Row],[Sales_Volume]]&gt;Table1[[#This Row],[Stock_Quantity]],"Pending","Fulfilled")</f>
        <v>Pending</v>
      </c>
      <c r="M497">
        <v>1</v>
      </c>
      <c r="N497">
        <v>96</v>
      </c>
      <c r="O497" t="str">
        <f>IF(Table1[[#This Row],[Stock_Quantity]]&lt;=Table1[[#This Row],[Reorder_Level]],"Reoeder required","Sufficient")</f>
        <v>Reoeder required</v>
      </c>
      <c r="P497" t="str">
        <f>IF(Table1[[#This Row],[Stock_Quantity]]=0,"Out of stock","Available")</f>
        <v>Available</v>
      </c>
    </row>
    <row r="498" spans="1:16" x14ac:dyDescent="0.3">
      <c r="A498" t="s">
        <v>1395</v>
      </c>
      <c r="B498" t="s">
        <v>610</v>
      </c>
      <c r="C498" t="s">
        <v>99</v>
      </c>
      <c r="D498" t="s">
        <v>687</v>
      </c>
      <c r="E498">
        <v>66</v>
      </c>
      <c r="F498">
        <v>49</v>
      </c>
      <c r="G498">
        <v>41</v>
      </c>
      <c r="H498" s="1">
        <v>10</v>
      </c>
      <c r="I498" s="2">
        <v>45573</v>
      </c>
      <c r="J498" t="s">
        <v>1396</v>
      </c>
      <c r="K498">
        <v>27</v>
      </c>
      <c r="L498" t="str">
        <f>IF(Table1[[#This Row],[Sales_Volume]]&gt;Table1[[#This Row],[Stock_Quantity]],"Pending","Fulfilled")</f>
        <v>Fulfilled</v>
      </c>
      <c r="M498">
        <v>8</v>
      </c>
      <c r="N498">
        <v>37</v>
      </c>
      <c r="O498" t="str">
        <f>IF(Table1[[#This Row],[Stock_Quantity]]&lt;=Table1[[#This Row],[Reorder_Level]],"Reoeder required","Sufficient")</f>
        <v>Sufficient</v>
      </c>
      <c r="P498" t="str">
        <f>IF(Table1[[#This Row],[Stock_Quantity]]=0,"Out of stock","Available")</f>
        <v>Available</v>
      </c>
    </row>
    <row r="499" spans="1:16" x14ac:dyDescent="0.3">
      <c r="A499" t="s">
        <v>1397</v>
      </c>
      <c r="B499" t="s">
        <v>39</v>
      </c>
      <c r="C499" t="s">
        <v>40</v>
      </c>
      <c r="D499" t="s">
        <v>1316</v>
      </c>
      <c r="E499">
        <v>17</v>
      </c>
      <c r="F499">
        <v>63</v>
      </c>
      <c r="G499">
        <v>66</v>
      </c>
      <c r="H499" s="1">
        <v>2.5</v>
      </c>
      <c r="I499" s="2">
        <v>45681</v>
      </c>
      <c r="J499" t="s">
        <v>1398</v>
      </c>
      <c r="K499">
        <v>23</v>
      </c>
      <c r="L499" t="str">
        <f>IF(Table1[[#This Row],[Sales_Volume]]&gt;Table1[[#This Row],[Stock_Quantity]],"Pending","Fulfilled")</f>
        <v>Pending</v>
      </c>
      <c r="M499">
        <v>1</v>
      </c>
      <c r="N499">
        <v>46</v>
      </c>
      <c r="O499" t="str">
        <f>IF(Table1[[#This Row],[Stock_Quantity]]&lt;=Table1[[#This Row],[Reorder_Level]],"Reoeder required","Sufficient")</f>
        <v>Reoeder required</v>
      </c>
      <c r="P499" t="str">
        <f>IF(Table1[[#This Row],[Stock_Quantity]]=0,"Out of stock","Available")</f>
        <v>Available</v>
      </c>
    </row>
    <row r="500" spans="1:16" x14ac:dyDescent="0.3">
      <c r="A500" t="s">
        <v>1399</v>
      </c>
      <c r="B500" t="s">
        <v>846</v>
      </c>
      <c r="C500" t="s">
        <v>31</v>
      </c>
      <c r="D500" t="s">
        <v>737</v>
      </c>
      <c r="E500">
        <v>13</v>
      </c>
      <c r="F500">
        <v>61</v>
      </c>
      <c r="G500">
        <v>77</v>
      </c>
      <c r="H500" s="1">
        <v>5.5</v>
      </c>
      <c r="I500" s="2">
        <v>45709</v>
      </c>
      <c r="J500" t="s">
        <v>1400</v>
      </c>
      <c r="K500">
        <v>42</v>
      </c>
      <c r="L500" t="str">
        <f>IF(Table1[[#This Row],[Sales_Volume]]&gt;Table1[[#This Row],[Stock_Quantity]],"Pending","Fulfilled")</f>
        <v>Pending</v>
      </c>
      <c r="M500">
        <v>5</v>
      </c>
      <c r="N500">
        <v>18</v>
      </c>
      <c r="O500" t="str">
        <f>IF(Table1[[#This Row],[Stock_Quantity]]&lt;=Table1[[#This Row],[Reorder_Level]],"Reoeder required","Sufficient")</f>
        <v>Reoeder required</v>
      </c>
      <c r="P500" t="str">
        <f>IF(Table1[[#This Row],[Stock_Quantity]]=0,"Out of stock","Available")</f>
        <v>Available</v>
      </c>
    </row>
    <row r="501" spans="1:16" x14ac:dyDescent="0.3">
      <c r="A501" t="s">
        <v>1401</v>
      </c>
      <c r="B501" t="s">
        <v>743</v>
      </c>
      <c r="C501" t="s">
        <v>65</v>
      </c>
      <c r="D501" t="s">
        <v>772</v>
      </c>
      <c r="E501">
        <v>34</v>
      </c>
      <c r="F501">
        <v>49</v>
      </c>
      <c r="G501">
        <v>27</v>
      </c>
      <c r="H501" s="1">
        <v>4</v>
      </c>
      <c r="I501" s="2">
        <v>45620</v>
      </c>
      <c r="J501" t="s">
        <v>1402</v>
      </c>
      <c r="K501">
        <v>78</v>
      </c>
      <c r="L501" t="str">
        <f>IF(Table1[[#This Row],[Sales_Volume]]&gt;Table1[[#This Row],[Stock_Quantity]],"Pending","Fulfilled")</f>
        <v>Pending</v>
      </c>
      <c r="M501">
        <v>6</v>
      </c>
      <c r="N501">
        <v>20</v>
      </c>
      <c r="O501" t="str">
        <f>IF(Table1[[#This Row],[Stock_Quantity]]&lt;=Table1[[#This Row],[Reorder_Level]],"Reoeder required","Sufficient")</f>
        <v>Reoeder required</v>
      </c>
      <c r="P501" t="str">
        <f>IF(Table1[[#This Row],[Stock_Quantity]]=0,"Out of stock","Available")</f>
        <v>Available</v>
      </c>
    </row>
    <row r="502" spans="1:16" x14ac:dyDescent="0.3">
      <c r="A502" t="s">
        <v>1403</v>
      </c>
      <c r="B502" t="s">
        <v>84</v>
      </c>
      <c r="C502" t="s">
        <v>45</v>
      </c>
      <c r="D502" t="s">
        <v>1404</v>
      </c>
      <c r="E502">
        <v>85</v>
      </c>
      <c r="F502">
        <v>89</v>
      </c>
      <c r="G502">
        <v>41</v>
      </c>
      <c r="H502" s="1">
        <v>8</v>
      </c>
      <c r="I502" s="2">
        <v>45389</v>
      </c>
      <c r="J502" t="s">
        <v>1405</v>
      </c>
      <c r="K502">
        <v>68</v>
      </c>
      <c r="L502" t="str">
        <f>IF(Table1[[#This Row],[Sales_Volume]]&gt;Table1[[#This Row],[Stock_Quantity]],"Pending","Fulfilled")</f>
        <v>Fulfilled</v>
      </c>
      <c r="M502">
        <v>7</v>
      </c>
      <c r="N502">
        <v>93</v>
      </c>
      <c r="O502" t="str">
        <f>IF(Table1[[#This Row],[Stock_Quantity]]&lt;=Table1[[#This Row],[Reorder_Level]],"Reoeder required","Sufficient")</f>
        <v>Reoeder required</v>
      </c>
      <c r="P502" t="str">
        <f>IF(Table1[[#This Row],[Stock_Quantity]]=0,"Out of stock","Available")</f>
        <v>Available</v>
      </c>
    </row>
    <row r="503" spans="1:16" x14ac:dyDescent="0.3">
      <c r="A503" t="s">
        <v>1406</v>
      </c>
      <c r="B503" t="s">
        <v>107</v>
      </c>
      <c r="C503" t="s">
        <v>31</v>
      </c>
      <c r="D503" t="s">
        <v>583</v>
      </c>
      <c r="E503">
        <v>12</v>
      </c>
      <c r="F503">
        <v>95</v>
      </c>
      <c r="G503">
        <v>49</v>
      </c>
      <c r="H503" s="1">
        <v>1</v>
      </c>
      <c r="I503" s="2">
        <v>45456</v>
      </c>
      <c r="J503" t="s">
        <v>1407</v>
      </c>
      <c r="K503">
        <v>25</v>
      </c>
      <c r="L503" t="str">
        <f>IF(Table1[[#This Row],[Sales_Volume]]&gt;Table1[[#This Row],[Stock_Quantity]],"Pending","Fulfilled")</f>
        <v>Pending</v>
      </c>
      <c r="M503">
        <v>3</v>
      </c>
      <c r="N503">
        <v>23</v>
      </c>
      <c r="O503" t="str">
        <f>IF(Table1[[#This Row],[Stock_Quantity]]&lt;=Table1[[#This Row],[Reorder_Level]],"Reoeder required","Sufficient")</f>
        <v>Reoeder required</v>
      </c>
      <c r="P503" t="str">
        <f>IF(Table1[[#This Row],[Stock_Quantity]]=0,"Out of stock","Available")</f>
        <v>Available</v>
      </c>
    </row>
    <row r="504" spans="1:16" x14ac:dyDescent="0.3">
      <c r="A504" t="s">
        <v>1408</v>
      </c>
      <c r="B504" t="s">
        <v>127</v>
      </c>
      <c r="C504" t="s">
        <v>65</v>
      </c>
      <c r="D504" t="s">
        <v>775</v>
      </c>
      <c r="E504">
        <v>82</v>
      </c>
      <c r="F504">
        <v>6</v>
      </c>
      <c r="G504">
        <v>53</v>
      </c>
      <c r="H504" s="1">
        <v>5</v>
      </c>
      <c r="I504" s="2">
        <v>45411</v>
      </c>
      <c r="J504" t="s">
        <v>1409</v>
      </c>
      <c r="K504">
        <v>21</v>
      </c>
      <c r="L504" t="str">
        <f>IF(Table1[[#This Row],[Sales_Volume]]&gt;Table1[[#This Row],[Stock_Quantity]],"Pending","Fulfilled")</f>
        <v>Fulfilled</v>
      </c>
      <c r="M504">
        <v>6</v>
      </c>
      <c r="N504">
        <v>58</v>
      </c>
      <c r="O504" t="str">
        <f>IF(Table1[[#This Row],[Stock_Quantity]]&lt;=Table1[[#This Row],[Reorder_Level]],"Reoeder required","Sufficient")</f>
        <v>Sufficient</v>
      </c>
      <c r="P504" t="str">
        <f>IF(Table1[[#This Row],[Stock_Quantity]]=0,"Out of stock","Available")</f>
        <v>Available</v>
      </c>
    </row>
    <row r="505" spans="1:16" x14ac:dyDescent="0.3">
      <c r="A505" t="s">
        <v>1410</v>
      </c>
      <c r="B505" t="s">
        <v>204</v>
      </c>
      <c r="C505" t="s">
        <v>65</v>
      </c>
      <c r="D505" t="s">
        <v>1411</v>
      </c>
      <c r="E505">
        <v>71</v>
      </c>
      <c r="F505">
        <v>97</v>
      </c>
      <c r="G505">
        <v>44</v>
      </c>
      <c r="H505" s="1">
        <v>4</v>
      </c>
      <c r="I505" s="2">
        <v>45348</v>
      </c>
      <c r="J505" t="s">
        <v>1412</v>
      </c>
      <c r="K505">
        <v>58</v>
      </c>
      <c r="L505" t="str">
        <f>IF(Table1[[#This Row],[Sales_Volume]]&gt;Table1[[#This Row],[Stock_Quantity]],"Pending","Fulfilled")</f>
        <v>Fulfilled</v>
      </c>
      <c r="M505">
        <v>3</v>
      </c>
      <c r="N505">
        <v>14</v>
      </c>
      <c r="O505" t="str">
        <f>IF(Table1[[#This Row],[Stock_Quantity]]&lt;=Table1[[#This Row],[Reorder_Level]],"Reoeder required","Sufficient")</f>
        <v>Reoeder required</v>
      </c>
      <c r="P505" t="str">
        <f>IF(Table1[[#This Row],[Stock_Quantity]]=0,"Out of stock","Available")</f>
        <v>Available</v>
      </c>
    </row>
    <row r="506" spans="1:16" x14ac:dyDescent="0.3">
      <c r="A506" t="s">
        <v>1413</v>
      </c>
      <c r="B506" t="s">
        <v>264</v>
      </c>
      <c r="C506" t="s">
        <v>45</v>
      </c>
      <c r="D506" t="s">
        <v>236</v>
      </c>
      <c r="E506">
        <v>58</v>
      </c>
      <c r="F506">
        <v>17</v>
      </c>
      <c r="G506">
        <v>26</v>
      </c>
      <c r="H506" s="1">
        <v>7</v>
      </c>
      <c r="I506" s="2">
        <v>45480</v>
      </c>
      <c r="J506" t="s">
        <v>1414</v>
      </c>
      <c r="K506">
        <v>62</v>
      </c>
      <c r="L506" t="str">
        <f>IF(Table1[[#This Row],[Sales_Volume]]&gt;Table1[[#This Row],[Stock_Quantity]],"Pending","Fulfilled")</f>
        <v>Pending</v>
      </c>
      <c r="M506">
        <v>6</v>
      </c>
      <c r="N506">
        <v>89</v>
      </c>
      <c r="O506" t="str">
        <f>IF(Table1[[#This Row],[Stock_Quantity]]&lt;=Table1[[#This Row],[Reorder_Level]],"Reoeder required","Sufficient")</f>
        <v>Sufficient</v>
      </c>
      <c r="P506" t="str">
        <f>IF(Table1[[#This Row],[Stock_Quantity]]=0,"Out of stock","Available")</f>
        <v>Available</v>
      </c>
    </row>
    <row r="507" spans="1:16" x14ac:dyDescent="0.3">
      <c r="A507" t="s">
        <v>1415</v>
      </c>
      <c r="B507" t="s">
        <v>363</v>
      </c>
      <c r="C507" t="s">
        <v>13</v>
      </c>
      <c r="D507" t="s">
        <v>372</v>
      </c>
      <c r="E507">
        <v>15</v>
      </c>
      <c r="F507">
        <v>76</v>
      </c>
      <c r="G507">
        <v>81</v>
      </c>
      <c r="H507" s="1">
        <v>2</v>
      </c>
      <c r="I507" s="2">
        <v>45460</v>
      </c>
      <c r="J507" t="s">
        <v>1416</v>
      </c>
      <c r="K507">
        <v>90</v>
      </c>
      <c r="L507" t="str">
        <f>IF(Table1[[#This Row],[Sales_Volume]]&gt;Table1[[#This Row],[Stock_Quantity]],"Pending","Fulfilled")</f>
        <v>Pending</v>
      </c>
      <c r="M507">
        <v>8</v>
      </c>
      <c r="N507">
        <v>26</v>
      </c>
      <c r="O507" t="str">
        <f>IF(Table1[[#This Row],[Stock_Quantity]]&lt;=Table1[[#This Row],[Reorder_Level]],"Reoeder required","Sufficient")</f>
        <v>Reoeder required</v>
      </c>
      <c r="P507" t="str">
        <f>IF(Table1[[#This Row],[Stock_Quantity]]=0,"Out of stock","Available")</f>
        <v>Available</v>
      </c>
    </row>
    <row r="508" spans="1:16" x14ac:dyDescent="0.3">
      <c r="A508" t="s">
        <v>1417</v>
      </c>
      <c r="B508" t="s">
        <v>138</v>
      </c>
      <c r="C508" t="s">
        <v>31</v>
      </c>
      <c r="D508" t="s">
        <v>838</v>
      </c>
      <c r="E508">
        <v>68</v>
      </c>
      <c r="F508">
        <v>25</v>
      </c>
      <c r="G508">
        <v>16</v>
      </c>
      <c r="H508" s="1">
        <v>3.5</v>
      </c>
      <c r="I508" s="2">
        <v>45523</v>
      </c>
      <c r="J508" t="s">
        <v>1418</v>
      </c>
      <c r="K508">
        <v>25</v>
      </c>
      <c r="L508" t="str">
        <f>IF(Table1[[#This Row],[Sales_Volume]]&gt;Table1[[#This Row],[Stock_Quantity]],"Pending","Fulfilled")</f>
        <v>Fulfilled</v>
      </c>
      <c r="M508">
        <v>6</v>
      </c>
      <c r="N508">
        <v>83</v>
      </c>
      <c r="O508" t="str">
        <f>IF(Table1[[#This Row],[Stock_Quantity]]&lt;=Table1[[#This Row],[Reorder_Level]],"Reoeder required","Sufficient")</f>
        <v>Sufficient</v>
      </c>
      <c r="P508" t="str">
        <f>IF(Table1[[#This Row],[Stock_Quantity]]=0,"Out of stock","Available")</f>
        <v>Available</v>
      </c>
    </row>
    <row r="509" spans="1:16" x14ac:dyDescent="0.3">
      <c r="A509" t="s">
        <v>1419</v>
      </c>
      <c r="B509" t="s">
        <v>60</v>
      </c>
      <c r="C509" t="s">
        <v>13</v>
      </c>
      <c r="D509" t="s">
        <v>1420</v>
      </c>
      <c r="E509">
        <v>13</v>
      </c>
      <c r="F509">
        <v>32</v>
      </c>
      <c r="G509">
        <v>79</v>
      </c>
      <c r="H509" s="1">
        <v>2</v>
      </c>
      <c r="I509" s="2">
        <v>45704</v>
      </c>
      <c r="J509" t="s">
        <v>1421</v>
      </c>
      <c r="K509">
        <v>38</v>
      </c>
      <c r="L509" t="str">
        <f>IF(Table1[[#This Row],[Sales_Volume]]&gt;Table1[[#This Row],[Stock_Quantity]],"Pending","Fulfilled")</f>
        <v>Pending</v>
      </c>
      <c r="M509">
        <v>6</v>
      </c>
      <c r="N509">
        <v>61</v>
      </c>
      <c r="O509" t="str">
        <f>IF(Table1[[#This Row],[Stock_Quantity]]&lt;=Table1[[#This Row],[Reorder_Level]],"Reoeder required","Sufficient")</f>
        <v>Reoeder required</v>
      </c>
      <c r="P509" t="str">
        <f>IF(Table1[[#This Row],[Stock_Quantity]]=0,"Out of stock","Available")</f>
        <v>Available</v>
      </c>
    </row>
    <row r="510" spans="1:16" x14ac:dyDescent="0.3">
      <c r="A510" t="s">
        <v>1422</v>
      </c>
      <c r="B510" t="s">
        <v>563</v>
      </c>
      <c r="C510" t="s">
        <v>40</v>
      </c>
      <c r="D510" t="s">
        <v>1255</v>
      </c>
      <c r="E510">
        <v>45</v>
      </c>
      <c r="F510">
        <v>7</v>
      </c>
      <c r="G510">
        <v>58</v>
      </c>
      <c r="H510" s="1">
        <v>6.5</v>
      </c>
      <c r="I510" s="2">
        <v>45387</v>
      </c>
      <c r="J510" t="s">
        <v>1423</v>
      </c>
      <c r="K510">
        <v>86</v>
      </c>
      <c r="L510" t="str">
        <f>IF(Table1[[#This Row],[Sales_Volume]]&gt;Table1[[#This Row],[Stock_Quantity]],"Pending","Fulfilled")</f>
        <v>Pending</v>
      </c>
      <c r="M510">
        <v>5</v>
      </c>
      <c r="N510">
        <v>77</v>
      </c>
      <c r="O510" t="str">
        <f>IF(Table1[[#This Row],[Stock_Quantity]]&lt;=Table1[[#This Row],[Reorder_Level]],"Reoeder required","Sufficient")</f>
        <v>Sufficient</v>
      </c>
      <c r="P510" t="str">
        <f>IF(Table1[[#This Row],[Stock_Quantity]]=0,"Out of stock","Available")</f>
        <v>Available</v>
      </c>
    </row>
    <row r="511" spans="1:16" x14ac:dyDescent="0.3">
      <c r="A511" t="s">
        <v>1424</v>
      </c>
      <c r="B511" t="s">
        <v>44</v>
      </c>
      <c r="C511" t="s">
        <v>45</v>
      </c>
      <c r="D511" t="s">
        <v>73</v>
      </c>
      <c r="E511">
        <v>40</v>
      </c>
      <c r="F511">
        <v>22</v>
      </c>
      <c r="G511">
        <v>74</v>
      </c>
      <c r="H511" s="1">
        <v>2.4500000000000002</v>
      </c>
      <c r="I511" s="2">
        <v>45558</v>
      </c>
      <c r="J511" t="s">
        <v>1425</v>
      </c>
      <c r="K511">
        <v>76</v>
      </c>
      <c r="L511" t="str">
        <f>IF(Table1[[#This Row],[Sales_Volume]]&gt;Table1[[#This Row],[Stock_Quantity]],"Pending","Fulfilled")</f>
        <v>Pending</v>
      </c>
      <c r="M511">
        <v>3</v>
      </c>
      <c r="N511">
        <v>70</v>
      </c>
      <c r="O511" t="str">
        <f>IF(Table1[[#This Row],[Stock_Quantity]]&lt;=Table1[[#This Row],[Reorder_Level]],"Reoeder required","Sufficient")</f>
        <v>Sufficient</v>
      </c>
      <c r="P511" t="str">
        <f>IF(Table1[[#This Row],[Stock_Quantity]]=0,"Out of stock","Available")</f>
        <v>Available</v>
      </c>
    </row>
    <row r="512" spans="1:16" x14ac:dyDescent="0.3">
      <c r="A512" t="s">
        <v>1426</v>
      </c>
      <c r="B512" t="s">
        <v>180</v>
      </c>
      <c r="C512" t="s">
        <v>18</v>
      </c>
      <c r="D512" t="s">
        <v>1427</v>
      </c>
      <c r="E512">
        <v>62</v>
      </c>
      <c r="F512">
        <v>23</v>
      </c>
      <c r="G512">
        <v>25</v>
      </c>
      <c r="H512" s="1">
        <v>15.5</v>
      </c>
      <c r="I512" s="2">
        <v>45411</v>
      </c>
      <c r="J512" t="s">
        <v>1428</v>
      </c>
      <c r="K512">
        <v>34</v>
      </c>
      <c r="L512" t="str">
        <f>IF(Table1[[#This Row],[Sales_Volume]]&gt;Table1[[#This Row],[Stock_Quantity]],"Pending","Fulfilled")</f>
        <v>Fulfilled</v>
      </c>
      <c r="M512">
        <v>7</v>
      </c>
      <c r="N512">
        <v>68</v>
      </c>
      <c r="O512" t="str">
        <f>IF(Table1[[#This Row],[Stock_Quantity]]&lt;=Table1[[#This Row],[Reorder_Level]],"Reoeder required","Sufficient")</f>
        <v>Sufficient</v>
      </c>
      <c r="P512" t="str">
        <f>IF(Table1[[#This Row],[Stock_Quantity]]=0,"Out of stock","Available")</f>
        <v>Available</v>
      </c>
    </row>
    <row r="513" spans="1:16" x14ac:dyDescent="0.3">
      <c r="A513" t="s">
        <v>1429</v>
      </c>
      <c r="B513" t="s">
        <v>334</v>
      </c>
      <c r="C513" t="s">
        <v>40</v>
      </c>
      <c r="D513" t="s">
        <v>1430</v>
      </c>
      <c r="E513">
        <v>79</v>
      </c>
      <c r="F513">
        <v>3</v>
      </c>
      <c r="G513">
        <v>36</v>
      </c>
      <c r="H513" s="1">
        <v>4</v>
      </c>
      <c r="I513" s="2">
        <v>45682</v>
      </c>
      <c r="J513" t="s">
        <v>1431</v>
      </c>
      <c r="K513">
        <v>46</v>
      </c>
      <c r="L513" t="str">
        <f>IF(Table1[[#This Row],[Sales_Volume]]&gt;Table1[[#This Row],[Stock_Quantity]],"Pending","Fulfilled")</f>
        <v>Fulfilled</v>
      </c>
      <c r="M513">
        <v>3</v>
      </c>
      <c r="N513">
        <v>29</v>
      </c>
      <c r="O513" t="str">
        <f>IF(Table1[[#This Row],[Stock_Quantity]]&lt;=Table1[[#This Row],[Reorder_Level]],"Reoeder required","Sufficient")</f>
        <v>Sufficient</v>
      </c>
      <c r="P513" t="str">
        <f>IF(Table1[[#This Row],[Stock_Quantity]]=0,"Out of stock","Available")</f>
        <v>Available</v>
      </c>
    </row>
    <row r="514" spans="1:16" x14ac:dyDescent="0.3">
      <c r="A514" t="s">
        <v>1432</v>
      </c>
      <c r="B514" t="s">
        <v>309</v>
      </c>
      <c r="C514" t="s">
        <v>31</v>
      </c>
      <c r="D514" t="s">
        <v>532</v>
      </c>
      <c r="E514">
        <v>75</v>
      </c>
      <c r="F514">
        <v>91</v>
      </c>
      <c r="G514">
        <v>68</v>
      </c>
      <c r="H514" s="1">
        <v>3</v>
      </c>
      <c r="I514" s="2">
        <v>45405</v>
      </c>
      <c r="J514" t="s">
        <v>1433</v>
      </c>
      <c r="K514">
        <v>96</v>
      </c>
      <c r="L514" t="str">
        <f>IF(Table1[[#This Row],[Sales_Volume]]&gt;Table1[[#This Row],[Stock_Quantity]],"Pending","Fulfilled")</f>
        <v>Pending</v>
      </c>
      <c r="M514">
        <v>1</v>
      </c>
      <c r="N514">
        <v>73</v>
      </c>
      <c r="O514" t="str">
        <f>IF(Table1[[#This Row],[Stock_Quantity]]&lt;=Table1[[#This Row],[Reorder_Level]],"Reoeder required","Sufficient")</f>
        <v>Reoeder required</v>
      </c>
      <c r="P514" t="str">
        <f>IF(Table1[[#This Row],[Stock_Quantity]]=0,"Out of stock","Available")</f>
        <v>Available</v>
      </c>
    </row>
    <row r="515" spans="1:16" x14ac:dyDescent="0.3">
      <c r="A515" t="s">
        <v>1434</v>
      </c>
      <c r="B515" t="s">
        <v>385</v>
      </c>
      <c r="C515" t="s">
        <v>13</v>
      </c>
      <c r="D515" t="s">
        <v>1435</v>
      </c>
      <c r="E515">
        <v>76</v>
      </c>
      <c r="F515">
        <v>8</v>
      </c>
      <c r="G515">
        <v>2</v>
      </c>
      <c r="H515" s="1">
        <v>9.5</v>
      </c>
      <c r="I515" s="2">
        <v>45604</v>
      </c>
      <c r="J515" t="s">
        <v>1436</v>
      </c>
      <c r="K515">
        <v>24</v>
      </c>
      <c r="L515" t="str">
        <f>IF(Table1[[#This Row],[Sales_Volume]]&gt;Table1[[#This Row],[Stock_Quantity]],"Pending","Fulfilled")</f>
        <v>Fulfilled</v>
      </c>
      <c r="M515">
        <v>6</v>
      </c>
      <c r="N515">
        <v>53</v>
      </c>
      <c r="O515" t="str">
        <f>IF(Table1[[#This Row],[Stock_Quantity]]&lt;=Table1[[#This Row],[Reorder_Level]],"Reoeder required","Sufficient")</f>
        <v>Sufficient</v>
      </c>
      <c r="P515" t="str">
        <f>IF(Table1[[#This Row],[Stock_Quantity]]=0,"Out of stock","Available")</f>
        <v>Available</v>
      </c>
    </row>
    <row r="516" spans="1:16" x14ac:dyDescent="0.3">
      <c r="A516" t="s">
        <v>1437</v>
      </c>
      <c r="B516" t="s">
        <v>459</v>
      </c>
      <c r="C516" t="s">
        <v>40</v>
      </c>
      <c r="D516" t="s">
        <v>429</v>
      </c>
      <c r="E516">
        <v>96</v>
      </c>
      <c r="F516">
        <v>51</v>
      </c>
      <c r="G516">
        <v>40</v>
      </c>
      <c r="H516" s="1">
        <v>2.2999999999999998</v>
      </c>
      <c r="I516" s="2">
        <v>45416</v>
      </c>
      <c r="J516" t="s">
        <v>1438</v>
      </c>
      <c r="K516">
        <v>61</v>
      </c>
      <c r="L516" t="str">
        <f>IF(Table1[[#This Row],[Sales_Volume]]&gt;Table1[[#This Row],[Stock_Quantity]],"Pending","Fulfilled")</f>
        <v>Fulfilled</v>
      </c>
      <c r="M516">
        <v>7</v>
      </c>
      <c r="N516">
        <v>4</v>
      </c>
      <c r="O516" t="str">
        <f>IF(Table1[[#This Row],[Stock_Quantity]]&lt;=Table1[[#This Row],[Reorder_Level]],"Reoeder required","Sufficient")</f>
        <v>Sufficient</v>
      </c>
      <c r="P516" t="str">
        <f>IF(Table1[[#This Row],[Stock_Quantity]]=0,"Out of stock","Available")</f>
        <v>Available</v>
      </c>
    </row>
    <row r="517" spans="1:16" x14ac:dyDescent="0.3">
      <c r="A517" t="s">
        <v>1439</v>
      </c>
      <c r="B517" t="s">
        <v>459</v>
      </c>
      <c r="C517" t="s">
        <v>40</v>
      </c>
      <c r="D517" t="s">
        <v>1440</v>
      </c>
      <c r="E517">
        <v>69</v>
      </c>
      <c r="F517">
        <v>17</v>
      </c>
      <c r="G517">
        <v>27</v>
      </c>
      <c r="H517" s="1">
        <v>2.2999999999999998</v>
      </c>
      <c r="I517" s="2">
        <v>45461</v>
      </c>
      <c r="J517" t="s">
        <v>1441</v>
      </c>
      <c r="K517">
        <v>79</v>
      </c>
      <c r="L517" t="str">
        <f>IF(Table1[[#This Row],[Sales_Volume]]&gt;Table1[[#This Row],[Stock_Quantity]],"Pending","Fulfilled")</f>
        <v>Pending</v>
      </c>
      <c r="M517">
        <v>1</v>
      </c>
      <c r="N517">
        <v>75</v>
      </c>
      <c r="O517" t="str">
        <f>IF(Table1[[#This Row],[Stock_Quantity]]&lt;=Table1[[#This Row],[Reorder_Level]],"Reoeder required","Sufficient")</f>
        <v>Sufficient</v>
      </c>
      <c r="P517" t="str">
        <f>IF(Table1[[#This Row],[Stock_Quantity]]=0,"Out of stock","Available")</f>
        <v>Available</v>
      </c>
    </row>
    <row r="518" spans="1:16" x14ac:dyDescent="0.3">
      <c r="A518" t="s">
        <v>1442</v>
      </c>
      <c r="B518" t="s">
        <v>183</v>
      </c>
      <c r="C518" t="s">
        <v>45</v>
      </c>
      <c r="D518" t="s">
        <v>614</v>
      </c>
      <c r="E518">
        <v>48</v>
      </c>
      <c r="F518">
        <v>71</v>
      </c>
      <c r="G518">
        <v>86</v>
      </c>
      <c r="H518" s="1">
        <v>3</v>
      </c>
      <c r="I518" s="2">
        <v>45475</v>
      </c>
      <c r="J518" t="s">
        <v>1443</v>
      </c>
      <c r="K518">
        <v>95</v>
      </c>
      <c r="L518" t="str">
        <f>IF(Table1[[#This Row],[Sales_Volume]]&gt;Table1[[#This Row],[Stock_Quantity]],"Pending","Fulfilled")</f>
        <v>Pending</v>
      </c>
      <c r="M518">
        <v>2</v>
      </c>
      <c r="N518">
        <v>3</v>
      </c>
      <c r="O518" t="str">
        <f>IF(Table1[[#This Row],[Stock_Quantity]]&lt;=Table1[[#This Row],[Reorder_Level]],"Reoeder required","Sufficient")</f>
        <v>Reoeder required</v>
      </c>
      <c r="P518" t="str">
        <f>IF(Table1[[#This Row],[Stock_Quantity]]=0,"Out of stock","Available")</f>
        <v>Available</v>
      </c>
    </row>
    <row r="519" spans="1:16" x14ac:dyDescent="0.3">
      <c r="A519" t="s">
        <v>1444</v>
      </c>
      <c r="B519" t="s">
        <v>313</v>
      </c>
      <c r="C519" t="s">
        <v>45</v>
      </c>
      <c r="D519" t="s">
        <v>1445</v>
      </c>
      <c r="E519">
        <v>82</v>
      </c>
      <c r="F519">
        <v>3</v>
      </c>
      <c r="G519">
        <v>82</v>
      </c>
      <c r="H519" s="1">
        <v>2.4</v>
      </c>
      <c r="I519" s="2">
        <v>45636</v>
      </c>
      <c r="J519" t="s">
        <v>1446</v>
      </c>
      <c r="K519">
        <v>48</v>
      </c>
      <c r="L519" t="str">
        <f>IF(Table1[[#This Row],[Sales_Volume]]&gt;Table1[[#This Row],[Stock_Quantity]],"Pending","Fulfilled")</f>
        <v>Fulfilled</v>
      </c>
      <c r="M519">
        <v>8</v>
      </c>
      <c r="N519">
        <v>31</v>
      </c>
      <c r="O519" t="str">
        <f>IF(Table1[[#This Row],[Stock_Quantity]]&lt;=Table1[[#This Row],[Reorder_Level]],"Reoeder required","Sufficient")</f>
        <v>Sufficient</v>
      </c>
      <c r="P519" t="str">
        <f>IF(Table1[[#This Row],[Stock_Quantity]]=0,"Out of stock","Available")</f>
        <v>Available</v>
      </c>
    </row>
    <row r="520" spans="1:16" x14ac:dyDescent="0.3">
      <c r="A520" t="s">
        <v>1447</v>
      </c>
      <c r="B520" t="s">
        <v>164</v>
      </c>
      <c r="C520" t="s">
        <v>31</v>
      </c>
      <c r="D520" t="s">
        <v>73</v>
      </c>
      <c r="E520">
        <v>43</v>
      </c>
      <c r="F520">
        <v>21</v>
      </c>
      <c r="G520">
        <v>31</v>
      </c>
      <c r="H520" s="1">
        <v>2.5</v>
      </c>
      <c r="I520" s="2">
        <v>45468</v>
      </c>
      <c r="J520" t="s">
        <v>1448</v>
      </c>
      <c r="K520">
        <v>22</v>
      </c>
      <c r="L520" t="str">
        <f>IF(Table1[[#This Row],[Sales_Volume]]&gt;Table1[[#This Row],[Stock_Quantity]],"Pending","Fulfilled")</f>
        <v>Fulfilled</v>
      </c>
      <c r="M520">
        <v>2</v>
      </c>
      <c r="N520">
        <v>25</v>
      </c>
      <c r="O520" t="str">
        <f>IF(Table1[[#This Row],[Stock_Quantity]]&lt;=Table1[[#This Row],[Reorder_Level]],"Reoeder required","Sufficient")</f>
        <v>Sufficient</v>
      </c>
      <c r="P520" t="str">
        <f>IF(Table1[[#This Row],[Stock_Quantity]]=0,"Out of stock","Available")</f>
        <v>Available</v>
      </c>
    </row>
    <row r="521" spans="1:16" x14ac:dyDescent="0.3">
      <c r="A521" t="s">
        <v>1449</v>
      </c>
      <c r="B521" t="s">
        <v>220</v>
      </c>
      <c r="C521" t="s">
        <v>18</v>
      </c>
      <c r="D521" t="s">
        <v>710</v>
      </c>
      <c r="E521">
        <v>90</v>
      </c>
      <c r="F521">
        <v>68</v>
      </c>
      <c r="G521">
        <v>74</v>
      </c>
      <c r="H521" s="1">
        <v>12</v>
      </c>
      <c r="I521" s="2">
        <v>45622</v>
      </c>
      <c r="J521" t="s">
        <v>1450</v>
      </c>
      <c r="K521">
        <v>81</v>
      </c>
      <c r="L521" t="str">
        <f>IF(Table1[[#This Row],[Sales_Volume]]&gt;Table1[[#This Row],[Stock_Quantity]],"Pending","Fulfilled")</f>
        <v>Fulfilled</v>
      </c>
      <c r="M521">
        <v>6</v>
      </c>
      <c r="N521">
        <v>26</v>
      </c>
      <c r="O521" t="str">
        <f>IF(Table1[[#This Row],[Stock_Quantity]]&lt;=Table1[[#This Row],[Reorder_Level]],"Reoeder required","Sufficient")</f>
        <v>Sufficient</v>
      </c>
      <c r="P521" t="str">
        <f>IF(Table1[[#This Row],[Stock_Quantity]]=0,"Out of stock","Available")</f>
        <v>Available</v>
      </c>
    </row>
    <row r="522" spans="1:16" x14ac:dyDescent="0.3">
      <c r="A522" t="s">
        <v>1451</v>
      </c>
      <c r="B522" t="s">
        <v>827</v>
      </c>
      <c r="C522" t="s">
        <v>45</v>
      </c>
      <c r="D522" t="s">
        <v>1452</v>
      </c>
      <c r="E522">
        <v>13</v>
      </c>
      <c r="F522">
        <v>39</v>
      </c>
      <c r="G522">
        <v>98</v>
      </c>
      <c r="H522" s="1">
        <v>0.9</v>
      </c>
      <c r="I522" s="2">
        <v>45601</v>
      </c>
      <c r="J522" t="s">
        <v>1453</v>
      </c>
      <c r="K522">
        <v>46</v>
      </c>
      <c r="L522" t="str">
        <f>IF(Table1[[#This Row],[Sales_Volume]]&gt;Table1[[#This Row],[Stock_Quantity]],"Pending","Fulfilled")</f>
        <v>Pending</v>
      </c>
      <c r="M522">
        <v>6</v>
      </c>
      <c r="N522">
        <v>46</v>
      </c>
      <c r="O522" t="str">
        <f>IF(Table1[[#This Row],[Stock_Quantity]]&lt;=Table1[[#This Row],[Reorder_Level]],"Reoeder required","Sufficient")</f>
        <v>Reoeder required</v>
      </c>
      <c r="P522" t="str">
        <f>IF(Table1[[#This Row],[Stock_Quantity]]=0,"Out of stock","Available")</f>
        <v>Available</v>
      </c>
    </row>
    <row r="523" spans="1:16" x14ac:dyDescent="0.3">
      <c r="A523" t="s">
        <v>1454</v>
      </c>
      <c r="B523" t="s">
        <v>107</v>
      </c>
      <c r="C523" t="s">
        <v>31</v>
      </c>
      <c r="D523" t="s">
        <v>88</v>
      </c>
      <c r="E523">
        <v>62</v>
      </c>
      <c r="F523">
        <v>79</v>
      </c>
      <c r="G523">
        <v>95</v>
      </c>
      <c r="H523" s="1">
        <v>1</v>
      </c>
      <c r="I523" s="2">
        <v>45479</v>
      </c>
      <c r="J523" t="s">
        <v>1455</v>
      </c>
      <c r="K523">
        <v>34</v>
      </c>
      <c r="L523" t="str">
        <f>IF(Table1[[#This Row],[Sales_Volume]]&gt;Table1[[#This Row],[Stock_Quantity]],"Pending","Fulfilled")</f>
        <v>Fulfilled</v>
      </c>
      <c r="M523">
        <v>2</v>
      </c>
      <c r="N523">
        <v>12</v>
      </c>
      <c r="O523" t="str">
        <f>IF(Table1[[#This Row],[Stock_Quantity]]&lt;=Table1[[#This Row],[Reorder_Level]],"Reoeder required","Sufficient")</f>
        <v>Reoeder required</v>
      </c>
      <c r="P523" t="str">
        <f>IF(Table1[[#This Row],[Stock_Quantity]]=0,"Out of stock","Available")</f>
        <v>Available</v>
      </c>
    </row>
    <row r="524" spans="1:16" x14ac:dyDescent="0.3">
      <c r="A524" t="s">
        <v>1456</v>
      </c>
      <c r="B524" t="s">
        <v>948</v>
      </c>
      <c r="C524" t="s">
        <v>13</v>
      </c>
      <c r="D524" t="s">
        <v>942</v>
      </c>
      <c r="E524">
        <v>17</v>
      </c>
      <c r="F524">
        <v>85</v>
      </c>
      <c r="G524">
        <v>74</v>
      </c>
      <c r="H524" s="1">
        <v>5</v>
      </c>
      <c r="I524" s="2">
        <v>45686</v>
      </c>
      <c r="J524" t="s">
        <v>1457</v>
      </c>
      <c r="K524">
        <v>76</v>
      </c>
      <c r="L524" t="str">
        <f>IF(Table1[[#This Row],[Sales_Volume]]&gt;Table1[[#This Row],[Stock_Quantity]],"Pending","Fulfilled")</f>
        <v>Pending</v>
      </c>
      <c r="M524">
        <v>6</v>
      </c>
      <c r="N524">
        <v>89</v>
      </c>
      <c r="O524" t="str">
        <f>IF(Table1[[#This Row],[Stock_Quantity]]&lt;=Table1[[#This Row],[Reorder_Level]],"Reoeder required","Sufficient")</f>
        <v>Reoeder required</v>
      </c>
      <c r="P524" t="str">
        <f>IF(Table1[[#This Row],[Stock_Quantity]]=0,"Out of stock","Available")</f>
        <v>Available</v>
      </c>
    </row>
    <row r="525" spans="1:16" x14ac:dyDescent="0.3">
      <c r="A525" t="s">
        <v>1458</v>
      </c>
      <c r="B525" t="s">
        <v>563</v>
      </c>
      <c r="C525" t="s">
        <v>40</v>
      </c>
      <c r="D525" t="s">
        <v>1003</v>
      </c>
      <c r="E525">
        <v>100</v>
      </c>
      <c r="F525">
        <v>86</v>
      </c>
      <c r="G525">
        <v>94</v>
      </c>
      <c r="H525" s="1">
        <v>6.5</v>
      </c>
      <c r="I525" s="2">
        <v>45394</v>
      </c>
      <c r="J525" t="s">
        <v>1459</v>
      </c>
      <c r="K525">
        <v>77</v>
      </c>
      <c r="L525" t="str">
        <f>IF(Table1[[#This Row],[Sales_Volume]]&gt;Table1[[#This Row],[Stock_Quantity]],"Pending","Fulfilled")</f>
        <v>Fulfilled</v>
      </c>
      <c r="M525">
        <v>5</v>
      </c>
      <c r="N525">
        <v>57</v>
      </c>
      <c r="O525" t="str">
        <f>IF(Table1[[#This Row],[Stock_Quantity]]&lt;=Table1[[#This Row],[Reorder_Level]],"Reoeder required","Sufficient")</f>
        <v>Sufficient</v>
      </c>
      <c r="P525" t="str">
        <f>IF(Table1[[#This Row],[Stock_Quantity]]=0,"Out of stock","Available")</f>
        <v>Available</v>
      </c>
    </row>
    <row r="526" spans="1:16" x14ac:dyDescent="0.3">
      <c r="A526" t="s">
        <v>1460</v>
      </c>
      <c r="B526" t="s">
        <v>35</v>
      </c>
      <c r="C526" t="s">
        <v>13</v>
      </c>
      <c r="D526" t="s">
        <v>1037</v>
      </c>
      <c r="E526">
        <v>54</v>
      </c>
      <c r="F526">
        <v>69</v>
      </c>
      <c r="G526">
        <v>68</v>
      </c>
      <c r="H526" s="1">
        <v>1.75</v>
      </c>
      <c r="I526" s="2">
        <v>45601</v>
      </c>
      <c r="J526" t="s">
        <v>1461</v>
      </c>
      <c r="K526">
        <v>77</v>
      </c>
      <c r="L526" t="str">
        <f>IF(Table1[[#This Row],[Sales_Volume]]&gt;Table1[[#This Row],[Stock_Quantity]],"Pending","Fulfilled")</f>
        <v>Pending</v>
      </c>
      <c r="M526">
        <v>8</v>
      </c>
      <c r="N526">
        <v>56</v>
      </c>
      <c r="O526" t="str">
        <f>IF(Table1[[#This Row],[Stock_Quantity]]&lt;=Table1[[#This Row],[Reorder_Level]],"Reoeder required","Sufficient")</f>
        <v>Reoeder required</v>
      </c>
      <c r="P526" t="str">
        <f>IF(Table1[[#This Row],[Stock_Quantity]]=0,"Out of stock","Available")</f>
        <v>Available</v>
      </c>
    </row>
    <row r="527" spans="1:16" x14ac:dyDescent="0.3">
      <c r="A527" t="s">
        <v>1462</v>
      </c>
      <c r="B527" t="s">
        <v>381</v>
      </c>
      <c r="C527" t="s">
        <v>45</v>
      </c>
      <c r="D527" t="s">
        <v>553</v>
      </c>
      <c r="E527">
        <v>98</v>
      </c>
      <c r="F527">
        <v>24</v>
      </c>
      <c r="G527">
        <v>4</v>
      </c>
      <c r="H527" s="1">
        <v>4.0999999999999996</v>
      </c>
      <c r="I527" s="2">
        <v>45647</v>
      </c>
      <c r="J527" t="s">
        <v>1463</v>
      </c>
      <c r="K527">
        <v>89</v>
      </c>
      <c r="L527" t="str">
        <f>IF(Table1[[#This Row],[Sales_Volume]]&gt;Table1[[#This Row],[Stock_Quantity]],"Pending","Fulfilled")</f>
        <v>Fulfilled</v>
      </c>
      <c r="M527">
        <v>1</v>
      </c>
      <c r="N527">
        <v>80</v>
      </c>
      <c r="O527" t="str">
        <f>IF(Table1[[#This Row],[Stock_Quantity]]&lt;=Table1[[#This Row],[Reorder_Level]],"Reoeder required","Sufficient")</f>
        <v>Sufficient</v>
      </c>
      <c r="P527" t="str">
        <f>IF(Table1[[#This Row],[Stock_Quantity]]=0,"Out of stock","Available")</f>
        <v>Available</v>
      </c>
    </row>
    <row r="528" spans="1:16" x14ac:dyDescent="0.3">
      <c r="A528" t="s">
        <v>1464</v>
      </c>
      <c r="B528" t="s">
        <v>146</v>
      </c>
      <c r="C528" t="s">
        <v>18</v>
      </c>
      <c r="D528" t="s">
        <v>1465</v>
      </c>
      <c r="E528">
        <v>20</v>
      </c>
      <c r="F528">
        <v>9</v>
      </c>
      <c r="G528">
        <v>12</v>
      </c>
      <c r="H528" s="1">
        <v>30.5</v>
      </c>
      <c r="I528" s="2">
        <v>45710</v>
      </c>
      <c r="J528" t="s">
        <v>1466</v>
      </c>
      <c r="K528">
        <v>46</v>
      </c>
      <c r="L528" t="str">
        <f>IF(Table1[[#This Row],[Sales_Volume]]&gt;Table1[[#This Row],[Stock_Quantity]],"Pending","Fulfilled")</f>
        <v>Pending</v>
      </c>
      <c r="M528">
        <v>2</v>
      </c>
      <c r="N528">
        <v>32</v>
      </c>
      <c r="O528" t="str">
        <f>IF(Table1[[#This Row],[Stock_Quantity]]&lt;=Table1[[#This Row],[Reorder_Level]],"Reoeder required","Sufficient")</f>
        <v>Sufficient</v>
      </c>
      <c r="P528" t="str">
        <f>IF(Table1[[#This Row],[Stock_Quantity]]=0,"Out of stock","Available")</f>
        <v>Available</v>
      </c>
    </row>
    <row r="529" spans="1:16" x14ac:dyDescent="0.3">
      <c r="A529" t="s">
        <v>1467</v>
      </c>
      <c r="B529" t="s">
        <v>150</v>
      </c>
      <c r="C529" t="s">
        <v>99</v>
      </c>
      <c r="D529" t="s">
        <v>705</v>
      </c>
      <c r="E529">
        <v>43</v>
      </c>
      <c r="F529">
        <v>7</v>
      </c>
      <c r="G529">
        <v>63</v>
      </c>
      <c r="H529" s="1">
        <v>9</v>
      </c>
      <c r="I529" s="2">
        <v>45497</v>
      </c>
      <c r="J529" t="s">
        <v>1468</v>
      </c>
      <c r="K529">
        <v>66</v>
      </c>
      <c r="L529" t="str">
        <f>IF(Table1[[#This Row],[Sales_Volume]]&gt;Table1[[#This Row],[Stock_Quantity]],"Pending","Fulfilled")</f>
        <v>Pending</v>
      </c>
      <c r="M529">
        <v>2</v>
      </c>
      <c r="N529">
        <v>71</v>
      </c>
      <c r="O529" t="str">
        <f>IF(Table1[[#This Row],[Stock_Quantity]]&lt;=Table1[[#This Row],[Reorder_Level]],"Reoeder required","Sufficient")</f>
        <v>Sufficient</v>
      </c>
      <c r="P529" t="str">
        <f>IF(Table1[[#This Row],[Stock_Quantity]]=0,"Out of stock","Available")</f>
        <v>Available</v>
      </c>
    </row>
    <row r="530" spans="1:16" x14ac:dyDescent="0.3">
      <c r="A530" t="s">
        <v>1469</v>
      </c>
      <c r="B530" t="s">
        <v>220</v>
      </c>
      <c r="C530" t="s">
        <v>18</v>
      </c>
      <c r="D530" t="s">
        <v>323</v>
      </c>
      <c r="E530">
        <v>29</v>
      </c>
      <c r="F530">
        <v>91</v>
      </c>
      <c r="G530">
        <v>48</v>
      </c>
      <c r="H530" s="1">
        <v>12</v>
      </c>
      <c r="I530" s="2">
        <v>45483</v>
      </c>
      <c r="J530" t="s">
        <v>1470</v>
      </c>
      <c r="K530">
        <v>28</v>
      </c>
      <c r="L530" t="str">
        <f>IF(Table1[[#This Row],[Sales_Volume]]&gt;Table1[[#This Row],[Stock_Quantity]],"Pending","Fulfilled")</f>
        <v>Fulfilled</v>
      </c>
      <c r="M530">
        <v>1</v>
      </c>
      <c r="N530">
        <v>40</v>
      </c>
      <c r="O530" t="str">
        <f>IF(Table1[[#This Row],[Stock_Quantity]]&lt;=Table1[[#This Row],[Reorder_Level]],"Reoeder required","Sufficient")</f>
        <v>Reoeder required</v>
      </c>
      <c r="P530" t="str">
        <f>IF(Table1[[#This Row],[Stock_Quantity]]=0,"Out of stock","Available")</f>
        <v>Available</v>
      </c>
    </row>
    <row r="531" spans="1:16" x14ac:dyDescent="0.3">
      <c r="A531" t="s">
        <v>1471</v>
      </c>
      <c r="B531" t="s">
        <v>846</v>
      </c>
      <c r="C531" t="s">
        <v>31</v>
      </c>
      <c r="D531" t="s">
        <v>488</v>
      </c>
      <c r="E531">
        <v>37</v>
      </c>
      <c r="F531">
        <v>45</v>
      </c>
      <c r="G531">
        <v>62</v>
      </c>
      <c r="H531" s="1">
        <v>5.5</v>
      </c>
      <c r="I531" s="2">
        <v>45669</v>
      </c>
      <c r="J531" t="s">
        <v>1472</v>
      </c>
      <c r="K531">
        <v>34</v>
      </c>
      <c r="L531" t="str">
        <f>IF(Table1[[#This Row],[Sales_Volume]]&gt;Table1[[#This Row],[Stock_Quantity]],"Pending","Fulfilled")</f>
        <v>Fulfilled</v>
      </c>
      <c r="M531">
        <v>2</v>
      </c>
      <c r="N531">
        <v>23</v>
      </c>
      <c r="O531" t="str">
        <f>IF(Table1[[#This Row],[Stock_Quantity]]&lt;=Table1[[#This Row],[Reorder_Level]],"Reoeder required","Sufficient")</f>
        <v>Reoeder required</v>
      </c>
      <c r="P531" t="str">
        <f>IF(Table1[[#This Row],[Stock_Quantity]]=0,"Out of stock","Available")</f>
        <v>Available</v>
      </c>
    </row>
    <row r="532" spans="1:16" x14ac:dyDescent="0.3">
      <c r="A532" t="s">
        <v>1473</v>
      </c>
      <c r="B532" t="s">
        <v>549</v>
      </c>
      <c r="C532" t="s">
        <v>45</v>
      </c>
      <c r="D532" t="s">
        <v>1474</v>
      </c>
      <c r="E532">
        <v>85</v>
      </c>
      <c r="F532">
        <v>28</v>
      </c>
      <c r="G532">
        <v>32</v>
      </c>
      <c r="H532" s="1">
        <v>8.9</v>
      </c>
      <c r="I532" s="2">
        <v>45468</v>
      </c>
      <c r="J532" t="s">
        <v>1475</v>
      </c>
      <c r="K532">
        <v>57</v>
      </c>
      <c r="L532" t="str">
        <f>IF(Table1[[#This Row],[Sales_Volume]]&gt;Table1[[#This Row],[Stock_Quantity]],"Pending","Fulfilled")</f>
        <v>Fulfilled</v>
      </c>
      <c r="M532">
        <v>1</v>
      </c>
      <c r="N532">
        <v>41</v>
      </c>
      <c r="O532" t="str">
        <f>IF(Table1[[#This Row],[Stock_Quantity]]&lt;=Table1[[#This Row],[Reorder_Level]],"Reoeder required","Sufficient")</f>
        <v>Sufficient</v>
      </c>
      <c r="P532" t="str">
        <f>IF(Table1[[#This Row],[Stock_Quantity]]=0,"Out of stock","Available")</f>
        <v>Available</v>
      </c>
    </row>
    <row r="533" spans="1:16" x14ac:dyDescent="0.3">
      <c r="A533" t="s">
        <v>1476</v>
      </c>
      <c r="B533" t="s">
        <v>631</v>
      </c>
      <c r="C533" t="s">
        <v>13</v>
      </c>
      <c r="D533" t="s">
        <v>529</v>
      </c>
      <c r="E533">
        <v>26</v>
      </c>
      <c r="F533">
        <v>67</v>
      </c>
      <c r="G533">
        <v>46</v>
      </c>
      <c r="H533" s="1">
        <v>4.4000000000000004</v>
      </c>
      <c r="I533" s="2">
        <v>45547</v>
      </c>
      <c r="J533" t="s">
        <v>1477</v>
      </c>
      <c r="K533">
        <v>54</v>
      </c>
      <c r="L533" t="str">
        <f>IF(Table1[[#This Row],[Sales_Volume]]&gt;Table1[[#This Row],[Stock_Quantity]],"Pending","Fulfilled")</f>
        <v>Pending</v>
      </c>
      <c r="M533">
        <v>2</v>
      </c>
      <c r="N533">
        <v>46</v>
      </c>
      <c r="O533" t="str">
        <f>IF(Table1[[#This Row],[Stock_Quantity]]&lt;=Table1[[#This Row],[Reorder_Level]],"Reoeder required","Sufficient")</f>
        <v>Reoeder required</v>
      </c>
      <c r="P533" t="str">
        <f>IF(Table1[[#This Row],[Stock_Quantity]]=0,"Out of stock","Available")</f>
        <v>Available</v>
      </c>
    </row>
    <row r="534" spans="1:16" x14ac:dyDescent="0.3">
      <c r="A534" t="s">
        <v>1478</v>
      </c>
      <c r="B534" t="s">
        <v>258</v>
      </c>
      <c r="C534" t="s">
        <v>18</v>
      </c>
      <c r="D534" t="s">
        <v>27</v>
      </c>
      <c r="E534">
        <v>91</v>
      </c>
      <c r="F534">
        <v>78</v>
      </c>
      <c r="G534">
        <v>61</v>
      </c>
      <c r="H534" s="1">
        <v>25</v>
      </c>
      <c r="I534" s="2">
        <v>45592</v>
      </c>
      <c r="J534" t="s">
        <v>1479</v>
      </c>
      <c r="K534">
        <v>63</v>
      </c>
      <c r="L534" t="str">
        <f>IF(Table1[[#This Row],[Sales_Volume]]&gt;Table1[[#This Row],[Stock_Quantity]],"Pending","Fulfilled")</f>
        <v>Fulfilled</v>
      </c>
      <c r="M534">
        <v>1</v>
      </c>
      <c r="N534">
        <v>15</v>
      </c>
      <c r="O534" t="str">
        <f>IF(Table1[[#This Row],[Stock_Quantity]]&lt;=Table1[[#This Row],[Reorder_Level]],"Reoeder required","Sufficient")</f>
        <v>Sufficient</v>
      </c>
      <c r="P534" t="str">
        <f>IF(Table1[[#This Row],[Stock_Quantity]]=0,"Out of stock","Available")</f>
        <v>Available</v>
      </c>
    </row>
    <row r="535" spans="1:16" x14ac:dyDescent="0.3">
      <c r="A535" t="s">
        <v>1480</v>
      </c>
      <c r="B535" t="s">
        <v>252</v>
      </c>
      <c r="C535" t="s">
        <v>45</v>
      </c>
      <c r="D535" t="s">
        <v>506</v>
      </c>
      <c r="E535">
        <v>50</v>
      </c>
      <c r="F535">
        <v>46</v>
      </c>
      <c r="G535">
        <v>38</v>
      </c>
      <c r="H535" s="1">
        <v>6.2</v>
      </c>
      <c r="I535" s="2">
        <v>45476</v>
      </c>
      <c r="J535" t="s">
        <v>1481</v>
      </c>
      <c r="K535">
        <v>88</v>
      </c>
      <c r="L535" t="str">
        <f>IF(Table1[[#This Row],[Sales_Volume]]&gt;Table1[[#This Row],[Stock_Quantity]],"Pending","Fulfilled")</f>
        <v>Pending</v>
      </c>
      <c r="M535">
        <v>6</v>
      </c>
      <c r="N535">
        <v>70</v>
      </c>
      <c r="O535" t="str">
        <f>IF(Table1[[#This Row],[Stock_Quantity]]&lt;=Table1[[#This Row],[Reorder_Level]],"Reoeder required","Sufficient")</f>
        <v>Sufficient</v>
      </c>
      <c r="P535" t="str">
        <f>IF(Table1[[#This Row],[Stock_Quantity]]=0,"Out of stock","Available")</f>
        <v>Available</v>
      </c>
    </row>
    <row r="536" spans="1:16" x14ac:dyDescent="0.3">
      <c r="A536" t="s">
        <v>1482</v>
      </c>
      <c r="B536" t="s">
        <v>98</v>
      </c>
      <c r="C536" t="s">
        <v>99</v>
      </c>
      <c r="D536" t="s">
        <v>625</v>
      </c>
      <c r="E536">
        <v>98</v>
      </c>
      <c r="F536">
        <v>65</v>
      </c>
      <c r="G536">
        <v>76</v>
      </c>
      <c r="H536" s="1">
        <v>12</v>
      </c>
      <c r="I536" s="2">
        <v>45492</v>
      </c>
      <c r="J536" t="s">
        <v>1483</v>
      </c>
      <c r="K536">
        <v>62</v>
      </c>
      <c r="L536" t="str">
        <f>IF(Table1[[#This Row],[Sales_Volume]]&gt;Table1[[#This Row],[Stock_Quantity]],"Pending","Fulfilled")</f>
        <v>Fulfilled</v>
      </c>
      <c r="M536">
        <v>1</v>
      </c>
      <c r="N536">
        <v>47</v>
      </c>
      <c r="O536" t="str">
        <f>IF(Table1[[#This Row],[Stock_Quantity]]&lt;=Table1[[#This Row],[Reorder_Level]],"Reoeder required","Sufficient")</f>
        <v>Sufficient</v>
      </c>
      <c r="P536" t="str">
        <f>IF(Table1[[#This Row],[Stock_Quantity]]=0,"Out of stock","Available")</f>
        <v>Available</v>
      </c>
    </row>
    <row r="537" spans="1:16" x14ac:dyDescent="0.3">
      <c r="A537" t="s">
        <v>1484</v>
      </c>
      <c r="B537" t="s">
        <v>53</v>
      </c>
      <c r="C537" t="s">
        <v>45</v>
      </c>
      <c r="D537" t="s">
        <v>208</v>
      </c>
      <c r="E537">
        <v>37</v>
      </c>
      <c r="F537">
        <v>53</v>
      </c>
      <c r="G537">
        <v>61</v>
      </c>
      <c r="H537" s="1">
        <v>1</v>
      </c>
      <c r="I537" s="2">
        <v>45490</v>
      </c>
      <c r="J537" t="s">
        <v>1485</v>
      </c>
      <c r="K537">
        <v>90</v>
      </c>
      <c r="L537" t="str">
        <f>IF(Table1[[#This Row],[Sales_Volume]]&gt;Table1[[#This Row],[Stock_Quantity]],"Pending","Fulfilled")</f>
        <v>Pending</v>
      </c>
      <c r="M537">
        <v>1</v>
      </c>
      <c r="N537">
        <v>89</v>
      </c>
      <c r="O537" t="str">
        <f>IF(Table1[[#This Row],[Stock_Quantity]]&lt;=Table1[[#This Row],[Reorder_Level]],"Reoeder required","Sufficient")</f>
        <v>Reoeder required</v>
      </c>
      <c r="P537" t="str">
        <f>IF(Table1[[#This Row],[Stock_Quantity]]=0,"Out of stock","Available")</f>
        <v>Available</v>
      </c>
    </row>
    <row r="538" spans="1:16" x14ac:dyDescent="0.3">
      <c r="A538" t="s">
        <v>1486</v>
      </c>
      <c r="B538" t="s">
        <v>217</v>
      </c>
      <c r="C538" t="s">
        <v>65</v>
      </c>
      <c r="D538" t="s">
        <v>574</v>
      </c>
      <c r="E538">
        <v>78</v>
      </c>
      <c r="F538">
        <v>68</v>
      </c>
      <c r="G538">
        <v>68</v>
      </c>
      <c r="H538" s="1">
        <v>2.5</v>
      </c>
      <c r="I538" s="2">
        <v>45356</v>
      </c>
      <c r="J538" t="s">
        <v>1487</v>
      </c>
      <c r="K538">
        <v>89</v>
      </c>
      <c r="L538" t="str">
        <f>IF(Table1[[#This Row],[Sales_Volume]]&gt;Table1[[#This Row],[Stock_Quantity]],"Pending","Fulfilled")</f>
        <v>Pending</v>
      </c>
      <c r="M538">
        <v>7</v>
      </c>
      <c r="N538">
        <v>24</v>
      </c>
      <c r="O538" t="str">
        <f>IF(Table1[[#This Row],[Stock_Quantity]]&lt;=Table1[[#This Row],[Reorder_Level]],"Reoeder required","Sufficient")</f>
        <v>Sufficient</v>
      </c>
      <c r="P538" t="str">
        <f>IF(Table1[[#This Row],[Stock_Quantity]]=0,"Out of stock","Available")</f>
        <v>Available</v>
      </c>
    </row>
    <row r="539" spans="1:16" x14ac:dyDescent="0.3">
      <c r="A539" t="s">
        <v>1488</v>
      </c>
      <c r="B539" t="s">
        <v>455</v>
      </c>
      <c r="C539" t="s">
        <v>31</v>
      </c>
      <c r="D539" t="s">
        <v>120</v>
      </c>
      <c r="E539">
        <v>48</v>
      </c>
      <c r="F539">
        <v>27</v>
      </c>
      <c r="G539">
        <v>73</v>
      </c>
      <c r="H539" s="1">
        <v>2.5499999999999998</v>
      </c>
      <c r="I539" s="2">
        <v>45394</v>
      </c>
      <c r="J539" t="s">
        <v>1489</v>
      </c>
      <c r="K539">
        <v>52</v>
      </c>
      <c r="L539" t="str">
        <f>IF(Table1[[#This Row],[Sales_Volume]]&gt;Table1[[#This Row],[Stock_Quantity]],"Pending","Fulfilled")</f>
        <v>Pending</v>
      </c>
      <c r="M539">
        <v>3</v>
      </c>
      <c r="N539">
        <v>97</v>
      </c>
      <c r="O539" t="str">
        <f>IF(Table1[[#This Row],[Stock_Quantity]]&lt;=Table1[[#This Row],[Reorder_Level]],"Reoeder required","Sufficient")</f>
        <v>Sufficient</v>
      </c>
      <c r="P539" t="str">
        <f>IF(Table1[[#This Row],[Stock_Quantity]]=0,"Out of stock","Available")</f>
        <v>Available</v>
      </c>
    </row>
    <row r="540" spans="1:16" x14ac:dyDescent="0.3">
      <c r="A540" t="s">
        <v>1490</v>
      </c>
      <c r="B540" t="s">
        <v>17</v>
      </c>
      <c r="C540" t="s">
        <v>18</v>
      </c>
      <c r="D540" t="s">
        <v>1491</v>
      </c>
      <c r="E540">
        <v>74</v>
      </c>
      <c r="F540">
        <v>10</v>
      </c>
      <c r="G540">
        <v>74</v>
      </c>
      <c r="H540" s="1">
        <v>20</v>
      </c>
      <c r="I540" s="2">
        <v>45567</v>
      </c>
      <c r="J540" t="s">
        <v>1492</v>
      </c>
      <c r="K540">
        <v>100</v>
      </c>
      <c r="L540" t="str">
        <f>IF(Table1[[#This Row],[Sales_Volume]]&gt;Table1[[#This Row],[Stock_Quantity]],"Pending","Fulfilled")</f>
        <v>Pending</v>
      </c>
      <c r="M540">
        <v>2</v>
      </c>
      <c r="N540">
        <v>66</v>
      </c>
      <c r="O540" t="str">
        <f>IF(Table1[[#This Row],[Stock_Quantity]]&lt;=Table1[[#This Row],[Reorder_Level]],"Reoeder required","Sufficient")</f>
        <v>Sufficient</v>
      </c>
      <c r="P540" t="str">
        <f>IF(Table1[[#This Row],[Stock_Quantity]]=0,"Out of stock","Available")</f>
        <v>Available</v>
      </c>
    </row>
    <row r="541" spans="1:16" x14ac:dyDescent="0.3">
      <c r="A541" t="s">
        <v>1493</v>
      </c>
      <c r="B541" t="s">
        <v>138</v>
      </c>
      <c r="C541" t="s">
        <v>31</v>
      </c>
      <c r="D541" t="s">
        <v>822</v>
      </c>
      <c r="E541">
        <v>18</v>
      </c>
      <c r="F541">
        <v>7</v>
      </c>
      <c r="G541">
        <v>58</v>
      </c>
      <c r="H541" s="1">
        <v>3.5</v>
      </c>
      <c r="I541" s="2">
        <v>45509</v>
      </c>
      <c r="J541" t="s">
        <v>1494</v>
      </c>
      <c r="K541">
        <v>88</v>
      </c>
      <c r="L541" t="str">
        <f>IF(Table1[[#This Row],[Sales_Volume]]&gt;Table1[[#This Row],[Stock_Quantity]],"Pending","Fulfilled")</f>
        <v>Pending</v>
      </c>
      <c r="M541">
        <v>5</v>
      </c>
      <c r="N541">
        <v>96</v>
      </c>
      <c r="O541" t="str">
        <f>IF(Table1[[#This Row],[Stock_Quantity]]&lt;=Table1[[#This Row],[Reorder_Level]],"Reoeder required","Sufficient")</f>
        <v>Sufficient</v>
      </c>
      <c r="P541" t="str">
        <f>IF(Table1[[#This Row],[Stock_Quantity]]=0,"Out of stock","Available")</f>
        <v>Available</v>
      </c>
    </row>
    <row r="542" spans="1:16" x14ac:dyDescent="0.3">
      <c r="A542" t="s">
        <v>1495</v>
      </c>
      <c r="B542" t="s">
        <v>455</v>
      </c>
      <c r="C542" t="s">
        <v>31</v>
      </c>
      <c r="D542" t="s">
        <v>372</v>
      </c>
      <c r="E542">
        <v>95</v>
      </c>
      <c r="F542">
        <v>66</v>
      </c>
      <c r="G542">
        <v>69</v>
      </c>
      <c r="H542" s="1">
        <v>2.48</v>
      </c>
      <c r="I542" s="2">
        <v>45379</v>
      </c>
      <c r="J542" t="s">
        <v>1496</v>
      </c>
      <c r="K542">
        <v>92</v>
      </c>
      <c r="L542" t="str">
        <f>IF(Table1[[#This Row],[Sales_Volume]]&gt;Table1[[#This Row],[Stock_Quantity]],"Pending","Fulfilled")</f>
        <v>Fulfilled</v>
      </c>
      <c r="M542">
        <v>5</v>
      </c>
      <c r="N542">
        <v>72</v>
      </c>
      <c r="O542" t="str">
        <f>IF(Table1[[#This Row],[Stock_Quantity]]&lt;=Table1[[#This Row],[Reorder_Level]],"Reoeder required","Sufficient")</f>
        <v>Sufficient</v>
      </c>
      <c r="P542" t="str">
        <f>IF(Table1[[#This Row],[Stock_Quantity]]=0,"Out of stock","Available")</f>
        <v>Available</v>
      </c>
    </row>
    <row r="543" spans="1:16" x14ac:dyDescent="0.3">
      <c r="A543" t="s">
        <v>1497</v>
      </c>
      <c r="B543" t="s">
        <v>556</v>
      </c>
      <c r="C543" t="s">
        <v>45</v>
      </c>
      <c r="D543" t="s">
        <v>838</v>
      </c>
      <c r="E543">
        <v>39</v>
      </c>
      <c r="F543">
        <v>93</v>
      </c>
      <c r="G543">
        <v>57</v>
      </c>
      <c r="H543" s="1">
        <v>2.5</v>
      </c>
      <c r="I543" s="2">
        <v>45440</v>
      </c>
      <c r="J543" t="s">
        <v>1498</v>
      </c>
      <c r="K543">
        <v>26</v>
      </c>
      <c r="L543" t="str">
        <f>IF(Table1[[#This Row],[Sales_Volume]]&gt;Table1[[#This Row],[Stock_Quantity]],"Pending","Fulfilled")</f>
        <v>Fulfilled</v>
      </c>
      <c r="M543">
        <v>7</v>
      </c>
      <c r="N543">
        <v>44</v>
      </c>
      <c r="O543" t="str">
        <f>IF(Table1[[#This Row],[Stock_Quantity]]&lt;=Table1[[#This Row],[Reorder_Level]],"Reoeder required","Sufficient")</f>
        <v>Reoeder required</v>
      </c>
      <c r="P543" t="str">
        <f>IF(Table1[[#This Row],[Stock_Quantity]]=0,"Out of stock","Available")</f>
        <v>Available</v>
      </c>
    </row>
    <row r="544" spans="1:16" x14ac:dyDescent="0.3">
      <c r="A544" t="s">
        <v>1499</v>
      </c>
      <c r="B544" t="s">
        <v>309</v>
      </c>
      <c r="C544" t="s">
        <v>31</v>
      </c>
      <c r="D544" t="s">
        <v>1500</v>
      </c>
      <c r="E544">
        <v>48</v>
      </c>
      <c r="F544">
        <v>72</v>
      </c>
      <c r="G544">
        <v>55</v>
      </c>
      <c r="H544" s="1">
        <v>3</v>
      </c>
      <c r="I544" s="2">
        <v>45424</v>
      </c>
      <c r="J544" t="s">
        <v>1501</v>
      </c>
      <c r="K544">
        <v>51</v>
      </c>
      <c r="L544" t="str">
        <f>IF(Table1[[#This Row],[Sales_Volume]]&gt;Table1[[#This Row],[Stock_Quantity]],"Pending","Fulfilled")</f>
        <v>Pending</v>
      </c>
      <c r="M544">
        <v>8</v>
      </c>
      <c r="N544">
        <v>41</v>
      </c>
      <c r="O544" t="str">
        <f>IF(Table1[[#This Row],[Stock_Quantity]]&lt;=Table1[[#This Row],[Reorder_Level]],"Reoeder required","Sufficient")</f>
        <v>Reoeder required</v>
      </c>
      <c r="P544" t="str">
        <f>IF(Table1[[#This Row],[Stock_Quantity]]=0,"Out of stock","Available")</f>
        <v>Available</v>
      </c>
    </row>
    <row r="545" spans="1:16" x14ac:dyDescent="0.3">
      <c r="A545" t="s">
        <v>1502</v>
      </c>
      <c r="B545" t="s">
        <v>72</v>
      </c>
      <c r="C545" t="s">
        <v>31</v>
      </c>
      <c r="D545" t="s">
        <v>583</v>
      </c>
      <c r="E545">
        <v>58</v>
      </c>
      <c r="F545">
        <v>15</v>
      </c>
      <c r="G545">
        <v>87</v>
      </c>
      <c r="H545" s="1">
        <v>5.9</v>
      </c>
      <c r="I545" s="2">
        <v>45473</v>
      </c>
      <c r="J545" t="s">
        <v>1503</v>
      </c>
      <c r="K545">
        <v>52</v>
      </c>
      <c r="L545" t="str">
        <f>IF(Table1[[#This Row],[Sales_Volume]]&gt;Table1[[#This Row],[Stock_Quantity]],"Pending","Fulfilled")</f>
        <v>Fulfilled</v>
      </c>
      <c r="M545">
        <v>5</v>
      </c>
      <c r="N545">
        <v>81</v>
      </c>
      <c r="O545" t="str">
        <f>IF(Table1[[#This Row],[Stock_Quantity]]&lt;=Table1[[#This Row],[Reorder_Level]],"Reoeder required","Sufficient")</f>
        <v>Sufficient</v>
      </c>
      <c r="P545" t="str">
        <f>IF(Table1[[#This Row],[Stock_Quantity]]=0,"Out of stock","Available")</f>
        <v>Available</v>
      </c>
    </row>
    <row r="546" spans="1:16" x14ac:dyDescent="0.3">
      <c r="A546" t="s">
        <v>1504</v>
      </c>
      <c r="B546" t="s">
        <v>49</v>
      </c>
      <c r="C546" t="s">
        <v>45</v>
      </c>
      <c r="D546" t="s">
        <v>456</v>
      </c>
      <c r="E546">
        <v>39</v>
      </c>
      <c r="F546">
        <v>55</v>
      </c>
      <c r="G546">
        <v>39</v>
      </c>
      <c r="H546" s="1">
        <v>3</v>
      </c>
      <c r="I546" s="2">
        <v>45480</v>
      </c>
      <c r="J546" t="s">
        <v>1505</v>
      </c>
      <c r="K546">
        <v>47</v>
      </c>
      <c r="L546" t="str">
        <f>IF(Table1[[#This Row],[Sales_Volume]]&gt;Table1[[#This Row],[Stock_Quantity]],"Pending","Fulfilled")</f>
        <v>Pending</v>
      </c>
      <c r="M546">
        <v>2</v>
      </c>
      <c r="N546">
        <v>59</v>
      </c>
      <c r="O546" t="str">
        <f>IF(Table1[[#This Row],[Stock_Quantity]]&lt;=Table1[[#This Row],[Reorder_Level]],"Reoeder required","Sufficient")</f>
        <v>Reoeder required</v>
      </c>
      <c r="P546" t="str">
        <f>IF(Table1[[#This Row],[Stock_Quantity]]=0,"Out of stock","Available")</f>
        <v>Available</v>
      </c>
    </row>
    <row r="547" spans="1:16" x14ac:dyDescent="0.3">
      <c r="A547" t="s">
        <v>1506</v>
      </c>
      <c r="B547" t="s">
        <v>905</v>
      </c>
      <c r="C547" t="s">
        <v>31</v>
      </c>
      <c r="D547" t="s">
        <v>233</v>
      </c>
      <c r="E547">
        <v>84</v>
      </c>
      <c r="F547">
        <v>28</v>
      </c>
      <c r="G547">
        <v>29</v>
      </c>
      <c r="H547" s="1">
        <v>4.4000000000000004</v>
      </c>
      <c r="I547" s="2">
        <v>45703</v>
      </c>
      <c r="J547" t="s">
        <v>1507</v>
      </c>
      <c r="K547">
        <v>54</v>
      </c>
      <c r="L547" t="str">
        <f>IF(Table1[[#This Row],[Sales_Volume]]&gt;Table1[[#This Row],[Stock_Quantity]],"Pending","Fulfilled")</f>
        <v>Fulfilled</v>
      </c>
      <c r="M547">
        <v>6</v>
      </c>
      <c r="N547">
        <v>32</v>
      </c>
      <c r="O547" t="str">
        <f>IF(Table1[[#This Row],[Stock_Quantity]]&lt;=Table1[[#This Row],[Reorder_Level]],"Reoeder required","Sufficient")</f>
        <v>Sufficient</v>
      </c>
      <c r="P547" t="str">
        <f>IF(Table1[[#This Row],[Stock_Quantity]]=0,"Out of stock","Available")</f>
        <v>Available</v>
      </c>
    </row>
    <row r="548" spans="1:16" x14ac:dyDescent="0.3">
      <c r="A548" t="s">
        <v>1508</v>
      </c>
      <c r="B548" t="s">
        <v>232</v>
      </c>
      <c r="C548" t="s">
        <v>99</v>
      </c>
      <c r="D548" t="s">
        <v>158</v>
      </c>
      <c r="E548">
        <v>30</v>
      </c>
      <c r="F548">
        <v>55</v>
      </c>
      <c r="G548">
        <v>4</v>
      </c>
      <c r="H548" s="1">
        <v>6</v>
      </c>
      <c r="I548" s="2">
        <v>45501</v>
      </c>
      <c r="J548" t="s">
        <v>1509</v>
      </c>
      <c r="K548">
        <v>56</v>
      </c>
      <c r="L548" t="str">
        <f>IF(Table1[[#This Row],[Sales_Volume]]&gt;Table1[[#This Row],[Stock_Quantity]],"Pending","Fulfilled")</f>
        <v>Pending</v>
      </c>
      <c r="M548">
        <v>2</v>
      </c>
      <c r="N548">
        <v>31</v>
      </c>
      <c r="O548" t="str">
        <f>IF(Table1[[#This Row],[Stock_Quantity]]&lt;=Table1[[#This Row],[Reorder_Level]],"Reoeder required","Sufficient")</f>
        <v>Reoeder required</v>
      </c>
      <c r="P548" t="str">
        <f>IF(Table1[[#This Row],[Stock_Quantity]]=0,"Out of stock","Available")</f>
        <v>Available</v>
      </c>
    </row>
    <row r="549" spans="1:16" x14ac:dyDescent="0.3">
      <c r="A549" t="s">
        <v>1510</v>
      </c>
      <c r="B549" t="s">
        <v>563</v>
      </c>
      <c r="C549" t="s">
        <v>40</v>
      </c>
      <c r="D549" t="s">
        <v>546</v>
      </c>
      <c r="E549">
        <v>14</v>
      </c>
      <c r="F549">
        <v>84</v>
      </c>
      <c r="G549">
        <v>15</v>
      </c>
      <c r="H549" s="1">
        <v>6.5</v>
      </c>
      <c r="I549" s="2">
        <v>45695</v>
      </c>
      <c r="J549" t="s">
        <v>1511</v>
      </c>
      <c r="K549">
        <v>51</v>
      </c>
      <c r="L549" t="str">
        <f>IF(Table1[[#This Row],[Sales_Volume]]&gt;Table1[[#This Row],[Stock_Quantity]],"Pending","Fulfilled")</f>
        <v>Pending</v>
      </c>
      <c r="M549">
        <v>7</v>
      </c>
      <c r="N549">
        <v>73</v>
      </c>
      <c r="O549" t="str">
        <f>IF(Table1[[#This Row],[Stock_Quantity]]&lt;=Table1[[#This Row],[Reorder_Level]],"Reoeder required","Sufficient")</f>
        <v>Reoeder required</v>
      </c>
      <c r="P549" t="str">
        <f>IF(Table1[[#This Row],[Stock_Quantity]]=0,"Out of stock","Available")</f>
        <v>Available</v>
      </c>
    </row>
    <row r="550" spans="1:16" x14ac:dyDescent="0.3">
      <c r="A550" t="s">
        <v>1512</v>
      </c>
      <c r="B550" t="s">
        <v>525</v>
      </c>
      <c r="C550" t="s">
        <v>13</v>
      </c>
      <c r="D550" t="s">
        <v>529</v>
      </c>
      <c r="E550">
        <v>21</v>
      </c>
      <c r="F550">
        <v>15</v>
      </c>
      <c r="G550">
        <v>27</v>
      </c>
      <c r="H550" s="1">
        <v>2.5</v>
      </c>
      <c r="I550" s="2">
        <v>45576</v>
      </c>
      <c r="J550" t="s">
        <v>1513</v>
      </c>
      <c r="K550">
        <v>37</v>
      </c>
      <c r="L550" t="str">
        <f>IF(Table1[[#This Row],[Sales_Volume]]&gt;Table1[[#This Row],[Stock_Quantity]],"Pending","Fulfilled")</f>
        <v>Pending</v>
      </c>
      <c r="M550">
        <v>2</v>
      </c>
      <c r="N550">
        <v>41</v>
      </c>
      <c r="O550" t="str">
        <f>IF(Table1[[#This Row],[Stock_Quantity]]&lt;=Table1[[#This Row],[Reorder_Level]],"Reoeder required","Sufficient")</f>
        <v>Sufficient</v>
      </c>
      <c r="P550" t="str">
        <f>IF(Table1[[#This Row],[Stock_Quantity]]=0,"Out of stock","Available")</f>
        <v>Available</v>
      </c>
    </row>
    <row r="551" spans="1:16" x14ac:dyDescent="0.3">
      <c r="A551" t="s">
        <v>1514</v>
      </c>
      <c r="B551" t="s">
        <v>359</v>
      </c>
      <c r="C551" t="s">
        <v>13</v>
      </c>
      <c r="D551" t="s">
        <v>1515</v>
      </c>
      <c r="E551">
        <v>17</v>
      </c>
      <c r="F551">
        <v>19</v>
      </c>
      <c r="G551">
        <v>74</v>
      </c>
      <c r="H551" s="1">
        <v>4.75</v>
      </c>
      <c r="I551" s="2">
        <v>45634</v>
      </c>
      <c r="J551" t="s">
        <v>1516</v>
      </c>
      <c r="K551">
        <v>58</v>
      </c>
      <c r="L551" t="str">
        <f>IF(Table1[[#This Row],[Sales_Volume]]&gt;Table1[[#This Row],[Stock_Quantity]],"Pending","Fulfilled")</f>
        <v>Pending</v>
      </c>
      <c r="M551">
        <v>6</v>
      </c>
      <c r="N551">
        <v>27</v>
      </c>
      <c r="O551" t="str">
        <f>IF(Table1[[#This Row],[Stock_Quantity]]&lt;=Table1[[#This Row],[Reorder_Level]],"Reoeder required","Sufficient")</f>
        <v>Reoeder required</v>
      </c>
      <c r="P551" t="str">
        <f>IF(Table1[[#This Row],[Stock_Quantity]]=0,"Out of stock","Available")</f>
        <v>Available</v>
      </c>
    </row>
    <row r="552" spans="1:16" x14ac:dyDescent="0.3">
      <c r="A552" t="s">
        <v>1517</v>
      </c>
      <c r="B552" t="s">
        <v>455</v>
      </c>
      <c r="C552" t="s">
        <v>31</v>
      </c>
      <c r="D552" t="s">
        <v>331</v>
      </c>
      <c r="E552">
        <v>34</v>
      </c>
      <c r="F552">
        <v>92</v>
      </c>
      <c r="G552">
        <v>26</v>
      </c>
      <c r="H552" s="1">
        <v>2.5</v>
      </c>
      <c r="I552" s="2">
        <v>45392</v>
      </c>
      <c r="J552" t="s">
        <v>1518</v>
      </c>
      <c r="K552">
        <v>28</v>
      </c>
      <c r="L552" t="str">
        <f>IF(Table1[[#This Row],[Sales_Volume]]&gt;Table1[[#This Row],[Stock_Quantity]],"Pending","Fulfilled")</f>
        <v>Fulfilled</v>
      </c>
      <c r="M552">
        <v>1</v>
      </c>
      <c r="N552">
        <v>71</v>
      </c>
      <c r="O552" t="str">
        <f>IF(Table1[[#This Row],[Stock_Quantity]]&lt;=Table1[[#This Row],[Reorder_Level]],"Reoeder required","Sufficient")</f>
        <v>Reoeder required</v>
      </c>
      <c r="P552" t="str">
        <f>IF(Table1[[#This Row],[Stock_Quantity]]=0,"Out of stock","Available")</f>
        <v>Available</v>
      </c>
    </row>
    <row r="553" spans="1:16" x14ac:dyDescent="0.3">
      <c r="A553" t="s">
        <v>1519</v>
      </c>
      <c r="B553" t="s">
        <v>359</v>
      </c>
      <c r="C553" t="s">
        <v>13</v>
      </c>
      <c r="D553" t="s">
        <v>73</v>
      </c>
      <c r="E553">
        <v>56</v>
      </c>
      <c r="F553">
        <v>48</v>
      </c>
      <c r="G553">
        <v>82</v>
      </c>
      <c r="H553" s="1">
        <v>4.75</v>
      </c>
      <c r="I553" s="2">
        <v>45647</v>
      </c>
      <c r="J553" t="s">
        <v>1520</v>
      </c>
      <c r="K553">
        <v>71</v>
      </c>
      <c r="L553" t="str">
        <f>IF(Table1[[#This Row],[Sales_Volume]]&gt;Table1[[#This Row],[Stock_Quantity]],"Pending","Fulfilled")</f>
        <v>Pending</v>
      </c>
      <c r="M553">
        <v>3</v>
      </c>
      <c r="N553">
        <v>65</v>
      </c>
      <c r="O553" t="str">
        <f>IF(Table1[[#This Row],[Stock_Quantity]]&lt;=Table1[[#This Row],[Reorder_Level]],"Reoeder required","Sufficient")</f>
        <v>Sufficient</v>
      </c>
      <c r="P553" t="str">
        <f>IF(Table1[[#This Row],[Stock_Quantity]]=0,"Out of stock","Available")</f>
        <v>Available</v>
      </c>
    </row>
    <row r="554" spans="1:16" x14ac:dyDescent="0.3">
      <c r="A554" t="s">
        <v>1521</v>
      </c>
      <c r="B554" t="s">
        <v>30</v>
      </c>
      <c r="C554" t="s">
        <v>31</v>
      </c>
      <c r="D554" t="s">
        <v>1305</v>
      </c>
      <c r="E554">
        <v>64</v>
      </c>
      <c r="F554">
        <v>71</v>
      </c>
      <c r="G554">
        <v>69</v>
      </c>
      <c r="H554" s="1">
        <v>3.9</v>
      </c>
      <c r="I554" s="2">
        <v>45457</v>
      </c>
      <c r="J554" t="s">
        <v>1522</v>
      </c>
      <c r="K554">
        <v>60</v>
      </c>
      <c r="L554" t="str">
        <f>IF(Table1[[#This Row],[Sales_Volume]]&gt;Table1[[#This Row],[Stock_Quantity]],"Pending","Fulfilled")</f>
        <v>Fulfilled</v>
      </c>
      <c r="M554">
        <v>7</v>
      </c>
      <c r="N554">
        <v>67</v>
      </c>
      <c r="O554" t="str">
        <f>IF(Table1[[#This Row],[Stock_Quantity]]&lt;=Table1[[#This Row],[Reorder_Level]],"Reoeder required","Sufficient")</f>
        <v>Reoeder required</v>
      </c>
      <c r="P554" t="str">
        <f>IF(Table1[[#This Row],[Stock_Quantity]]=0,"Out of stock","Available")</f>
        <v>Available</v>
      </c>
    </row>
    <row r="555" spans="1:16" x14ac:dyDescent="0.3">
      <c r="A555" t="s">
        <v>1523</v>
      </c>
      <c r="B555" t="s">
        <v>846</v>
      </c>
      <c r="C555" t="s">
        <v>31</v>
      </c>
      <c r="D555" t="s">
        <v>958</v>
      </c>
      <c r="E555">
        <v>87</v>
      </c>
      <c r="F555">
        <v>62</v>
      </c>
      <c r="G555">
        <v>2</v>
      </c>
      <c r="H555" s="1">
        <v>5.5</v>
      </c>
      <c r="I555" s="2">
        <v>45376</v>
      </c>
      <c r="J555" t="s">
        <v>1524</v>
      </c>
      <c r="K555">
        <v>22</v>
      </c>
      <c r="L555" t="str">
        <f>IF(Table1[[#This Row],[Sales_Volume]]&gt;Table1[[#This Row],[Stock_Quantity]],"Pending","Fulfilled")</f>
        <v>Fulfilled</v>
      </c>
      <c r="M555">
        <v>3</v>
      </c>
      <c r="N555">
        <v>38</v>
      </c>
      <c r="O555" t="str">
        <f>IF(Table1[[#This Row],[Stock_Quantity]]&lt;=Table1[[#This Row],[Reorder_Level]],"Reoeder required","Sufficient")</f>
        <v>Sufficient</v>
      </c>
      <c r="P555" t="str">
        <f>IF(Table1[[#This Row],[Stock_Quantity]]=0,"Out of stock","Available")</f>
        <v>Available</v>
      </c>
    </row>
    <row r="556" spans="1:16" x14ac:dyDescent="0.3">
      <c r="A556" t="s">
        <v>1525</v>
      </c>
      <c r="B556" t="s">
        <v>905</v>
      </c>
      <c r="C556" t="s">
        <v>31</v>
      </c>
      <c r="D556" t="s">
        <v>221</v>
      </c>
      <c r="E556">
        <v>24</v>
      </c>
      <c r="F556">
        <v>25</v>
      </c>
      <c r="G556">
        <v>52</v>
      </c>
      <c r="H556" s="1">
        <v>4.5</v>
      </c>
      <c r="I556" s="2">
        <v>45435</v>
      </c>
      <c r="J556" t="s">
        <v>1526</v>
      </c>
      <c r="K556">
        <v>24</v>
      </c>
      <c r="L556" t="str">
        <f>IF(Table1[[#This Row],[Sales_Volume]]&gt;Table1[[#This Row],[Stock_Quantity]],"Pending","Fulfilled")</f>
        <v>Fulfilled</v>
      </c>
      <c r="M556">
        <v>1</v>
      </c>
      <c r="N556">
        <v>77</v>
      </c>
      <c r="O556" t="str">
        <f>IF(Table1[[#This Row],[Stock_Quantity]]&lt;=Table1[[#This Row],[Reorder_Level]],"Reoeder required","Sufficient")</f>
        <v>Reoeder required</v>
      </c>
      <c r="P556" t="str">
        <f>IF(Table1[[#This Row],[Stock_Quantity]]=0,"Out of stock","Available")</f>
        <v>Available</v>
      </c>
    </row>
    <row r="557" spans="1:16" x14ac:dyDescent="0.3">
      <c r="A557" t="s">
        <v>1527</v>
      </c>
      <c r="B557" t="s">
        <v>12</v>
      </c>
      <c r="C557" t="s">
        <v>13</v>
      </c>
      <c r="D557" t="s">
        <v>372</v>
      </c>
      <c r="E557">
        <v>47</v>
      </c>
      <c r="F557">
        <v>1</v>
      </c>
      <c r="G557">
        <v>60</v>
      </c>
      <c r="H557" s="1">
        <v>4.2</v>
      </c>
      <c r="I557" s="2">
        <v>45431</v>
      </c>
      <c r="J557" t="s">
        <v>1528</v>
      </c>
      <c r="K557">
        <v>32</v>
      </c>
      <c r="L557" t="str">
        <f>IF(Table1[[#This Row],[Sales_Volume]]&gt;Table1[[#This Row],[Stock_Quantity]],"Pending","Fulfilled")</f>
        <v>Fulfilled</v>
      </c>
      <c r="M557">
        <v>6</v>
      </c>
      <c r="N557">
        <v>87</v>
      </c>
      <c r="O557" t="str">
        <f>IF(Table1[[#This Row],[Stock_Quantity]]&lt;=Table1[[#This Row],[Reorder_Level]],"Reoeder required","Sufficient")</f>
        <v>Sufficient</v>
      </c>
      <c r="P557" t="str">
        <f>IF(Table1[[#This Row],[Stock_Quantity]]=0,"Out of stock","Available")</f>
        <v>Available</v>
      </c>
    </row>
    <row r="558" spans="1:16" x14ac:dyDescent="0.3">
      <c r="A558" t="s">
        <v>1529</v>
      </c>
      <c r="B558" t="s">
        <v>743</v>
      </c>
      <c r="C558" t="s">
        <v>65</v>
      </c>
      <c r="D558" t="s">
        <v>687</v>
      </c>
      <c r="E558">
        <v>61</v>
      </c>
      <c r="F558">
        <v>8</v>
      </c>
      <c r="G558">
        <v>45</v>
      </c>
      <c r="H558" s="1">
        <v>4</v>
      </c>
      <c r="I558" s="2">
        <v>45562</v>
      </c>
      <c r="J558" t="s">
        <v>1530</v>
      </c>
      <c r="K558">
        <v>73</v>
      </c>
      <c r="L558" t="str">
        <f>IF(Table1[[#This Row],[Sales_Volume]]&gt;Table1[[#This Row],[Stock_Quantity]],"Pending","Fulfilled")</f>
        <v>Pending</v>
      </c>
      <c r="M558">
        <v>1</v>
      </c>
      <c r="N558">
        <v>64</v>
      </c>
      <c r="O558" t="str">
        <f>IF(Table1[[#This Row],[Stock_Quantity]]&lt;=Table1[[#This Row],[Reorder_Level]],"Reoeder required","Sufficient")</f>
        <v>Sufficient</v>
      </c>
      <c r="P558" t="str">
        <f>IF(Table1[[#This Row],[Stock_Quantity]]=0,"Out of stock","Available")</f>
        <v>Available</v>
      </c>
    </row>
    <row r="559" spans="1:16" x14ac:dyDescent="0.3">
      <c r="A559" t="s">
        <v>1531</v>
      </c>
      <c r="B559" t="s">
        <v>64</v>
      </c>
      <c r="C559" t="s">
        <v>65</v>
      </c>
      <c r="D559" t="s">
        <v>269</v>
      </c>
      <c r="E559">
        <v>48</v>
      </c>
      <c r="F559">
        <v>2</v>
      </c>
      <c r="G559">
        <v>16</v>
      </c>
      <c r="H559" s="1">
        <v>2.8</v>
      </c>
      <c r="I559" s="2">
        <v>45620</v>
      </c>
      <c r="J559" t="s">
        <v>1532</v>
      </c>
      <c r="K559">
        <v>27</v>
      </c>
      <c r="L559" t="str">
        <f>IF(Table1[[#This Row],[Sales_Volume]]&gt;Table1[[#This Row],[Stock_Quantity]],"Pending","Fulfilled")</f>
        <v>Fulfilled</v>
      </c>
      <c r="M559">
        <v>4</v>
      </c>
      <c r="N559">
        <v>1</v>
      </c>
      <c r="O559" t="str">
        <f>IF(Table1[[#This Row],[Stock_Quantity]]&lt;=Table1[[#This Row],[Reorder_Level]],"Reoeder required","Sufficient")</f>
        <v>Sufficient</v>
      </c>
      <c r="P559" t="str">
        <f>IF(Table1[[#This Row],[Stock_Quantity]]=0,"Out of stock","Available")</f>
        <v>Available</v>
      </c>
    </row>
    <row r="560" spans="1:16" x14ac:dyDescent="0.3">
      <c r="A560" t="s">
        <v>1533</v>
      </c>
      <c r="B560" t="s">
        <v>342</v>
      </c>
      <c r="C560" t="s">
        <v>65</v>
      </c>
      <c r="D560" t="s">
        <v>323</v>
      </c>
      <c r="E560">
        <v>37</v>
      </c>
      <c r="F560">
        <v>96</v>
      </c>
      <c r="G560">
        <v>82</v>
      </c>
      <c r="H560" s="1">
        <v>5</v>
      </c>
      <c r="I560" s="2">
        <v>45671</v>
      </c>
      <c r="J560" t="s">
        <v>1534</v>
      </c>
      <c r="K560">
        <v>35</v>
      </c>
      <c r="L560" t="str">
        <f>IF(Table1[[#This Row],[Sales_Volume]]&gt;Table1[[#This Row],[Stock_Quantity]],"Pending","Fulfilled")</f>
        <v>Fulfilled</v>
      </c>
      <c r="M560">
        <v>6</v>
      </c>
      <c r="N560">
        <v>23</v>
      </c>
      <c r="O560" t="str">
        <f>IF(Table1[[#This Row],[Stock_Quantity]]&lt;=Table1[[#This Row],[Reorder_Level]],"Reoeder required","Sufficient")</f>
        <v>Reoeder required</v>
      </c>
      <c r="P560" t="str">
        <f>IF(Table1[[#This Row],[Stock_Quantity]]=0,"Out of stock","Available")</f>
        <v>Available</v>
      </c>
    </row>
    <row r="561" spans="1:16" x14ac:dyDescent="0.3">
      <c r="A561" t="s">
        <v>1535</v>
      </c>
      <c r="B561" t="s">
        <v>17</v>
      </c>
      <c r="C561" t="s">
        <v>18</v>
      </c>
      <c r="D561" t="s">
        <v>1176</v>
      </c>
      <c r="E561">
        <v>45</v>
      </c>
      <c r="F561">
        <v>36</v>
      </c>
      <c r="G561">
        <v>97</v>
      </c>
      <c r="H561" s="1">
        <v>20</v>
      </c>
      <c r="I561" s="2">
        <v>45438</v>
      </c>
      <c r="J561" t="s">
        <v>1536</v>
      </c>
      <c r="K561">
        <v>36</v>
      </c>
      <c r="L561" t="str">
        <f>IF(Table1[[#This Row],[Sales_Volume]]&gt;Table1[[#This Row],[Stock_Quantity]],"Pending","Fulfilled")</f>
        <v>Fulfilled</v>
      </c>
      <c r="M561">
        <v>2</v>
      </c>
      <c r="N561">
        <v>6</v>
      </c>
      <c r="O561" t="str">
        <f>IF(Table1[[#This Row],[Stock_Quantity]]&lt;=Table1[[#This Row],[Reorder_Level]],"Reoeder required","Sufficient")</f>
        <v>Sufficient</v>
      </c>
      <c r="P561" t="str">
        <f>IF(Table1[[#This Row],[Stock_Quantity]]=0,"Out of stock","Available")</f>
        <v>Available</v>
      </c>
    </row>
    <row r="562" spans="1:16" x14ac:dyDescent="0.3">
      <c r="A562" t="s">
        <v>1537</v>
      </c>
      <c r="B562" t="s">
        <v>80</v>
      </c>
      <c r="C562" t="s">
        <v>13</v>
      </c>
      <c r="D562" t="s">
        <v>645</v>
      </c>
      <c r="E562">
        <v>87</v>
      </c>
      <c r="F562">
        <v>97</v>
      </c>
      <c r="G562">
        <v>28</v>
      </c>
      <c r="H562" s="1">
        <v>1.5</v>
      </c>
      <c r="I562" s="2">
        <v>45558</v>
      </c>
      <c r="J562" t="s">
        <v>1538</v>
      </c>
      <c r="K562">
        <v>58</v>
      </c>
      <c r="L562" t="str">
        <f>IF(Table1[[#This Row],[Sales_Volume]]&gt;Table1[[#This Row],[Stock_Quantity]],"Pending","Fulfilled")</f>
        <v>Fulfilled</v>
      </c>
      <c r="M562">
        <v>1</v>
      </c>
      <c r="N562">
        <v>21</v>
      </c>
      <c r="O562" t="str">
        <f>IF(Table1[[#This Row],[Stock_Quantity]]&lt;=Table1[[#This Row],[Reorder_Level]],"Reoeder required","Sufficient")</f>
        <v>Reoeder required</v>
      </c>
      <c r="P562" t="str">
        <f>IF(Table1[[#This Row],[Stock_Quantity]]=0,"Out of stock","Available")</f>
        <v>Available</v>
      </c>
    </row>
    <row r="563" spans="1:16" x14ac:dyDescent="0.3">
      <c r="A563" t="s">
        <v>1539</v>
      </c>
      <c r="B563" t="s">
        <v>385</v>
      </c>
      <c r="C563" t="s">
        <v>13</v>
      </c>
      <c r="D563" t="s">
        <v>632</v>
      </c>
      <c r="E563">
        <v>37</v>
      </c>
      <c r="F563">
        <v>47</v>
      </c>
      <c r="G563">
        <v>34</v>
      </c>
      <c r="H563" s="1">
        <v>9.5</v>
      </c>
      <c r="I563" s="2">
        <v>45596</v>
      </c>
      <c r="J563" t="s">
        <v>1540</v>
      </c>
      <c r="K563">
        <v>38</v>
      </c>
      <c r="L563" t="str">
        <f>IF(Table1[[#This Row],[Sales_Volume]]&gt;Table1[[#This Row],[Stock_Quantity]],"Pending","Fulfilled")</f>
        <v>Pending</v>
      </c>
      <c r="M563">
        <v>5</v>
      </c>
      <c r="N563">
        <v>89</v>
      </c>
      <c r="O563" t="str">
        <f>IF(Table1[[#This Row],[Stock_Quantity]]&lt;=Table1[[#This Row],[Reorder_Level]],"Reoeder required","Sufficient")</f>
        <v>Reoeder required</v>
      </c>
      <c r="P563" t="str">
        <f>IF(Table1[[#This Row],[Stock_Quantity]]=0,"Out of stock","Available")</f>
        <v>Available</v>
      </c>
    </row>
    <row r="564" spans="1:16" x14ac:dyDescent="0.3">
      <c r="A564" t="s">
        <v>1541</v>
      </c>
      <c r="B564" t="s">
        <v>591</v>
      </c>
      <c r="C564" t="s">
        <v>18</v>
      </c>
      <c r="D564" t="s">
        <v>208</v>
      </c>
      <c r="E564">
        <v>59</v>
      </c>
      <c r="F564">
        <v>62</v>
      </c>
      <c r="G564">
        <v>57</v>
      </c>
      <c r="H564" s="1">
        <v>10.3</v>
      </c>
      <c r="I564" s="2">
        <v>45489</v>
      </c>
      <c r="J564" t="s">
        <v>1542</v>
      </c>
      <c r="K564">
        <v>90</v>
      </c>
      <c r="L564" t="str">
        <f>IF(Table1[[#This Row],[Sales_Volume]]&gt;Table1[[#This Row],[Stock_Quantity]],"Pending","Fulfilled")</f>
        <v>Pending</v>
      </c>
      <c r="M564">
        <v>8</v>
      </c>
      <c r="N564">
        <v>94</v>
      </c>
      <c r="O564" t="str">
        <f>IF(Table1[[#This Row],[Stock_Quantity]]&lt;=Table1[[#This Row],[Reorder_Level]],"Reoeder required","Sufficient")</f>
        <v>Reoeder required</v>
      </c>
      <c r="P564" t="str">
        <f>IF(Table1[[#This Row],[Stock_Quantity]]=0,"Out of stock","Available")</f>
        <v>Available</v>
      </c>
    </row>
    <row r="565" spans="1:16" x14ac:dyDescent="0.3">
      <c r="A565" t="s">
        <v>1543</v>
      </c>
      <c r="B565" t="s">
        <v>418</v>
      </c>
      <c r="C565" t="s">
        <v>31</v>
      </c>
      <c r="D565" t="s">
        <v>1544</v>
      </c>
      <c r="E565">
        <v>62</v>
      </c>
      <c r="F565">
        <v>40</v>
      </c>
      <c r="G565">
        <v>86</v>
      </c>
      <c r="H565" s="1">
        <v>6</v>
      </c>
      <c r="I565" s="2">
        <v>45612</v>
      </c>
      <c r="J565" t="s">
        <v>1545</v>
      </c>
      <c r="K565">
        <v>45</v>
      </c>
      <c r="L565" t="str">
        <f>IF(Table1[[#This Row],[Sales_Volume]]&gt;Table1[[#This Row],[Stock_Quantity]],"Pending","Fulfilled")</f>
        <v>Fulfilled</v>
      </c>
      <c r="M565">
        <v>1</v>
      </c>
      <c r="N565">
        <v>86</v>
      </c>
      <c r="O565" t="str">
        <f>IF(Table1[[#This Row],[Stock_Quantity]]&lt;=Table1[[#This Row],[Reorder_Level]],"Reoeder required","Sufficient")</f>
        <v>Sufficient</v>
      </c>
      <c r="P565" t="str">
        <f>IF(Table1[[#This Row],[Stock_Quantity]]=0,"Out of stock","Available")</f>
        <v>Available</v>
      </c>
    </row>
    <row r="566" spans="1:16" x14ac:dyDescent="0.3">
      <c r="A566" t="s">
        <v>1546</v>
      </c>
      <c r="B566" t="s">
        <v>914</v>
      </c>
      <c r="C566" t="s">
        <v>45</v>
      </c>
      <c r="D566" t="s">
        <v>1188</v>
      </c>
      <c r="E566">
        <v>63</v>
      </c>
      <c r="F566">
        <v>12</v>
      </c>
      <c r="G566">
        <v>82</v>
      </c>
      <c r="H566" s="1">
        <v>1.7</v>
      </c>
      <c r="I566" s="2">
        <v>45474</v>
      </c>
      <c r="J566" t="s">
        <v>1547</v>
      </c>
      <c r="K566">
        <v>56</v>
      </c>
      <c r="L566" t="str">
        <f>IF(Table1[[#This Row],[Sales_Volume]]&gt;Table1[[#This Row],[Stock_Quantity]],"Pending","Fulfilled")</f>
        <v>Fulfilled</v>
      </c>
      <c r="M566">
        <v>4</v>
      </c>
      <c r="N566">
        <v>31</v>
      </c>
      <c r="O566" t="str">
        <f>IF(Table1[[#This Row],[Stock_Quantity]]&lt;=Table1[[#This Row],[Reorder_Level]],"Reoeder required","Sufficient")</f>
        <v>Sufficient</v>
      </c>
      <c r="P566" t="str">
        <f>IF(Table1[[#This Row],[Stock_Quantity]]=0,"Out of stock","Available")</f>
        <v>Available</v>
      </c>
    </row>
    <row r="567" spans="1:16" x14ac:dyDescent="0.3">
      <c r="A567" t="s">
        <v>1548</v>
      </c>
      <c r="B567" t="s">
        <v>846</v>
      </c>
      <c r="C567" t="s">
        <v>31</v>
      </c>
      <c r="D567" t="s">
        <v>177</v>
      </c>
      <c r="E567">
        <v>38</v>
      </c>
      <c r="F567">
        <v>72</v>
      </c>
      <c r="G567">
        <v>39</v>
      </c>
      <c r="H567" s="1">
        <v>5.5</v>
      </c>
      <c r="I567" s="2">
        <v>45467</v>
      </c>
      <c r="J567" t="s">
        <v>1549</v>
      </c>
      <c r="K567">
        <v>59</v>
      </c>
      <c r="L567" t="str">
        <f>IF(Table1[[#This Row],[Sales_Volume]]&gt;Table1[[#This Row],[Stock_Quantity]],"Pending","Fulfilled")</f>
        <v>Pending</v>
      </c>
      <c r="M567">
        <v>4</v>
      </c>
      <c r="N567">
        <v>8</v>
      </c>
      <c r="O567" t="str">
        <f>IF(Table1[[#This Row],[Stock_Quantity]]&lt;=Table1[[#This Row],[Reorder_Level]],"Reoeder required","Sufficient")</f>
        <v>Reoeder required</v>
      </c>
      <c r="P567" t="str">
        <f>IF(Table1[[#This Row],[Stock_Quantity]]=0,"Out of stock","Available")</f>
        <v>Available</v>
      </c>
    </row>
    <row r="568" spans="1:16" x14ac:dyDescent="0.3">
      <c r="A568" t="s">
        <v>1550</v>
      </c>
      <c r="B568" t="s">
        <v>786</v>
      </c>
      <c r="C568" t="s">
        <v>99</v>
      </c>
      <c r="D568" t="s">
        <v>1551</v>
      </c>
      <c r="E568">
        <v>76</v>
      </c>
      <c r="F568">
        <v>21</v>
      </c>
      <c r="G568">
        <v>3</v>
      </c>
      <c r="H568" s="1">
        <v>7.5</v>
      </c>
      <c r="I568" s="2">
        <v>45514</v>
      </c>
      <c r="J568" t="s">
        <v>1552</v>
      </c>
      <c r="K568">
        <v>31</v>
      </c>
      <c r="L568" t="str">
        <f>IF(Table1[[#This Row],[Sales_Volume]]&gt;Table1[[#This Row],[Stock_Quantity]],"Pending","Fulfilled")</f>
        <v>Fulfilled</v>
      </c>
      <c r="M568">
        <v>8</v>
      </c>
      <c r="N568">
        <v>47</v>
      </c>
      <c r="O568" t="str">
        <f>IF(Table1[[#This Row],[Stock_Quantity]]&lt;=Table1[[#This Row],[Reorder_Level]],"Reoeder required","Sufficient")</f>
        <v>Sufficient</v>
      </c>
      <c r="P568" t="str">
        <f>IF(Table1[[#This Row],[Stock_Quantity]]=0,"Out of stock","Available")</f>
        <v>Available</v>
      </c>
    </row>
    <row r="569" spans="1:16" x14ac:dyDescent="0.3">
      <c r="A569" t="s">
        <v>1553</v>
      </c>
      <c r="B569" t="s">
        <v>119</v>
      </c>
      <c r="C569" t="s">
        <v>45</v>
      </c>
      <c r="D569" t="s">
        <v>506</v>
      </c>
      <c r="E569">
        <v>34</v>
      </c>
      <c r="F569">
        <v>94</v>
      </c>
      <c r="G569">
        <v>69</v>
      </c>
      <c r="H569" s="1">
        <v>0.8</v>
      </c>
      <c r="I569" s="2">
        <v>45363</v>
      </c>
      <c r="J569" t="s">
        <v>1554</v>
      </c>
      <c r="K569">
        <v>96</v>
      </c>
      <c r="L569" t="str">
        <f>IF(Table1[[#This Row],[Sales_Volume]]&gt;Table1[[#This Row],[Stock_Quantity]],"Pending","Fulfilled")</f>
        <v>Pending</v>
      </c>
      <c r="M569">
        <v>6</v>
      </c>
      <c r="N569">
        <v>30</v>
      </c>
      <c r="O569" t="str">
        <f>IF(Table1[[#This Row],[Stock_Quantity]]&lt;=Table1[[#This Row],[Reorder_Level]],"Reoeder required","Sufficient")</f>
        <v>Reoeder required</v>
      </c>
      <c r="P569" t="str">
        <f>IF(Table1[[#This Row],[Stock_Quantity]]=0,"Out of stock","Available")</f>
        <v>Available</v>
      </c>
    </row>
    <row r="570" spans="1:16" x14ac:dyDescent="0.3">
      <c r="A570" t="s">
        <v>1555</v>
      </c>
      <c r="B570" t="s">
        <v>272</v>
      </c>
      <c r="C570" t="s">
        <v>31</v>
      </c>
      <c r="D570" t="s">
        <v>1556</v>
      </c>
      <c r="E570">
        <v>25</v>
      </c>
      <c r="F570">
        <v>62</v>
      </c>
      <c r="G570">
        <v>11</v>
      </c>
      <c r="H570" s="1">
        <v>3</v>
      </c>
      <c r="I570" s="2">
        <v>45627</v>
      </c>
      <c r="J570" t="s">
        <v>1557</v>
      </c>
      <c r="K570">
        <v>57</v>
      </c>
      <c r="L570" t="str">
        <f>IF(Table1[[#This Row],[Sales_Volume]]&gt;Table1[[#This Row],[Stock_Quantity]],"Pending","Fulfilled")</f>
        <v>Pending</v>
      </c>
      <c r="M570">
        <v>6</v>
      </c>
      <c r="N570">
        <v>98</v>
      </c>
      <c r="O570" t="str">
        <f>IF(Table1[[#This Row],[Stock_Quantity]]&lt;=Table1[[#This Row],[Reorder_Level]],"Reoeder required","Sufficient")</f>
        <v>Reoeder required</v>
      </c>
      <c r="P570" t="str">
        <f>IF(Table1[[#This Row],[Stock_Quantity]]=0,"Out of stock","Available")</f>
        <v>Available</v>
      </c>
    </row>
    <row r="571" spans="1:16" x14ac:dyDescent="0.3">
      <c r="A571" t="s">
        <v>1558</v>
      </c>
      <c r="B571" t="s">
        <v>556</v>
      </c>
      <c r="C571" t="s">
        <v>45</v>
      </c>
      <c r="D571" t="s">
        <v>1559</v>
      </c>
      <c r="E571">
        <v>86</v>
      </c>
      <c r="F571">
        <v>16</v>
      </c>
      <c r="G571">
        <v>37</v>
      </c>
      <c r="H571" s="1">
        <v>2.5</v>
      </c>
      <c r="I571" s="2">
        <v>45421</v>
      </c>
      <c r="J571" t="s">
        <v>1560</v>
      </c>
      <c r="K571">
        <v>34</v>
      </c>
      <c r="L571" t="str">
        <f>IF(Table1[[#This Row],[Sales_Volume]]&gt;Table1[[#This Row],[Stock_Quantity]],"Pending","Fulfilled")</f>
        <v>Fulfilled</v>
      </c>
      <c r="M571">
        <v>2</v>
      </c>
      <c r="N571">
        <v>66</v>
      </c>
      <c r="O571" t="str">
        <f>IF(Table1[[#This Row],[Stock_Quantity]]&lt;=Table1[[#This Row],[Reorder_Level]],"Reoeder required","Sufficient")</f>
        <v>Sufficient</v>
      </c>
      <c r="P571" t="str">
        <f>IF(Table1[[#This Row],[Stock_Quantity]]=0,"Out of stock","Available")</f>
        <v>Available</v>
      </c>
    </row>
    <row r="572" spans="1:16" x14ac:dyDescent="0.3">
      <c r="A572" t="s">
        <v>1561</v>
      </c>
      <c r="B572" t="s">
        <v>127</v>
      </c>
      <c r="C572" t="s">
        <v>65</v>
      </c>
      <c r="D572" t="s">
        <v>1236</v>
      </c>
      <c r="E572">
        <v>41</v>
      </c>
      <c r="F572">
        <v>21</v>
      </c>
      <c r="G572">
        <v>47</v>
      </c>
      <c r="H572" s="1">
        <v>5</v>
      </c>
      <c r="I572" s="2">
        <v>45658</v>
      </c>
      <c r="J572" t="s">
        <v>1562</v>
      </c>
      <c r="K572">
        <v>50</v>
      </c>
      <c r="L572" t="str">
        <f>IF(Table1[[#This Row],[Sales_Volume]]&gt;Table1[[#This Row],[Stock_Quantity]],"Pending","Fulfilled")</f>
        <v>Pending</v>
      </c>
      <c r="M572">
        <v>3</v>
      </c>
      <c r="N572">
        <v>99</v>
      </c>
      <c r="O572" t="str">
        <f>IF(Table1[[#This Row],[Stock_Quantity]]&lt;=Table1[[#This Row],[Reorder_Level]],"Reoeder required","Sufficient")</f>
        <v>Sufficient</v>
      </c>
      <c r="P572" t="str">
        <f>IF(Table1[[#This Row],[Stock_Quantity]]=0,"Out of stock","Available")</f>
        <v>Available</v>
      </c>
    </row>
    <row r="573" spans="1:16" x14ac:dyDescent="0.3">
      <c r="A573" t="s">
        <v>1563</v>
      </c>
      <c r="B573" t="s">
        <v>455</v>
      </c>
      <c r="C573" t="s">
        <v>31</v>
      </c>
      <c r="D573" t="s">
        <v>1564</v>
      </c>
      <c r="E573">
        <v>77</v>
      </c>
      <c r="F573">
        <v>54</v>
      </c>
      <c r="G573">
        <v>10</v>
      </c>
      <c r="H573" s="1">
        <v>2.5</v>
      </c>
      <c r="I573" s="2">
        <v>45567</v>
      </c>
      <c r="J573" t="s">
        <v>1565</v>
      </c>
      <c r="K573">
        <v>64</v>
      </c>
      <c r="L573" t="str">
        <f>IF(Table1[[#This Row],[Sales_Volume]]&gt;Table1[[#This Row],[Stock_Quantity]],"Pending","Fulfilled")</f>
        <v>Fulfilled</v>
      </c>
      <c r="M573">
        <v>5</v>
      </c>
      <c r="N573">
        <v>73</v>
      </c>
      <c r="O573" t="str">
        <f>IF(Table1[[#This Row],[Stock_Quantity]]&lt;=Table1[[#This Row],[Reorder_Level]],"Reoeder required","Sufficient")</f>
        <v>Sufficient</v>
      </c>
      <c r="P573" t="str">
        <f>IF(Table1[[#This Row],[Stock_Quantity]]=0,"Out of stock","Available")</f>
        <v>Available</v>
      </c>
    </row>
    <row r="574" spans="1:16" x14ac:dyDescent="0.3">
      <c r="A574" t="s">
        <v>1566</v>
      </c>
      <c r="B574" t="s">
        <v>53</v>
      </c>
      <c r="C574" t="s">
        <v>45</v>
      </c>
      <c r="D574" t="s">
        <v>1465</v>
      </c>
      <c r="E574">
        <v>41</v>
      </c>
      <c r="F574">
        <v>61</v>
      </c>
      <c r="G574">
        <v>69</v>
      </c>
      <c r="H574" s="1">
        <v>1</v>
      </c>
      <c r="I574" s="2">
        <v>45691</v>
      </c>
      <c r="J574" t="s">
        <v>1567</v>
      </c>
      <c r="K574">
        <v>30</v>
      </c>
      <c r="L574" t="str">
        <f>IF(Table1[[#This Row],[Sales_Volume]]&gt;Table1[[#This Row],[Stock_Quantity]],"Pending","Fulfilled")</f>
        <v>Fulfilled</v>
      </c>
      <c r="M574">
        <v>5</v>
      </c>
      <c r="N574">
        <v>100</v>
      </c>
      <c r="O574" t="str">
        <f>IF(Table1[[#This Row],[Stock_Quantity]]&lt;=Table1[[#This Row],[Reorder_Level]],"Reoeder required","Sufficient")</f>
        <v>Reoeder required</v>
      </c>
      <c r="P574" t="str">
        <f>IF(Table1[[#This Row],[Stock_Quantity]]=0,"Out of stock","Available")</f>
        <v>Available</v>
      </c>
    </row>
    <row r="575" spans="1:16" x14ac:dyDescent="0.3">
      <c r="A575" t="s">
        <v>1568</v>
      </c>
      <c r="B575" t="s">
        <v>211</v>
      </c>
      <c r="C575" t="s">
        <v>31</v>
      </c>
      <c r="D575" t="s">
        <v>314</v>
      </c>
      <c r="E575">
        <v>44</v>
      </c>
      <c r="F575">
        <v>8</v>
      </c>
      <c r="G575">
        <v>52</v>
      </c>
      <c r="H575" s="1">
        <v>2.95</v>
      </c>
      <c r="I575" s="2">
        <v>45636</v>
      </c>
      <c r="J575" t="s">
        <v>1569</v>
      </c>
      <c r="K575">
        <v>42</v>
      </c>
      <c r="L575" t="str">
        <f>IF(Table1[[#This Row],[Sales_Volume]]&gt;Table1[[#This Row],[Stock_Quantity]],"Pending","Fulfilled")</f>
        <v>Fulfilled</v>
      </c>
      <c r="M575">
        <v>6</v>
      </c>
      <c r="N575">
        <v>66</v>
      </c>
      <c r="O575" t="str">
        <f>IF(Table1[[#This Row],[Stock_Quantity]]&lt;=Table1[[#This Row],[Reorder_Level]],"Reoeder required","Sufficient")</f>
        <v>Sufficient</v>
      </c>
      <c r="P575" t="str">
        <f>IF(Table1[[#This Row],[Stock_Quantity]]=0,"Out of stock","Available")</f>
        <v>Available</v>
      </c>
    </row>
    <row r="576" spans="1:16" x14ac:dyDescent="0.3">
      <c r="A576" t="s">
        <v>1570</v>
      </c>
      <c r="B576" t="s">
        <v>462</v>
      </c>
      <c r="C576" t="s">
        <v>40</v>
      </c>
      <c r="D576" t="s">
        <v>1255</v>
      </c>
      <c r="E576">
        <v>53</v>
      </c>
      <c r="F576">
        <v>89</v>
      </c>
      <c r="G576">
        <v>100</v>
      </c>
      <c r="H576" s="1">
        <v>10</v>
      </c>
      <c r="I576" s="2">
        <v>45388</v>
      </c>
      <c r="J576" t="s">
        <v>1571</v>
      </c>
      <c r="K576">
        <v>22</v>
      </c>
      <c r="L576" t="str">
        <f>IF(Table1[[#This Row],[Sales_Volume]]&gt;Table1[[#This Row],[Stock_Quantity]],"Pending","Fulfilled")</f>
        <v>Fulfilled</v>
      </c>
      <c r="M576">
        <v>3</v>
      </c>
      <c r="N576">
        <v>83</v>
      </c>
      <c r="O576" t="str">
        <f>IF(Table1[[#This Row],[Stock_Quantity]]&lt;=Table1[[#This Row],[Reorder_Level]],"Reoeder required","Sufficient")</f>
        <v>Reoeder required</v>
      </c>
      <c r="P576" t="str">
        <f>IF(Table1[[#This Row],[Stock_Quantity]]=0,"Out of stock","Available")</f>
        <v>Available</v>
      </c>
    </row>
    <row r="577" spans="1:16" x14ac:dyDescent="0.3">
      <c r="A577" t="s">
        <v>1572</v>
      </c>
      <c r="B577" t="s">
        <v>342</v>
      </c>
      <c r="C577" t="s">
        <v>65</v>
      </c>
      <c r="D577" t="s">
        <v>108</v>
      </c>
      <c r="E577">
        <v>68</v>
      </c>
      <c r="F577">
        <v>29</v>
      </c>
      <c r="G577">
        <v>100</v>
      </c>
      <c r="H577" s="1">
        <v>5</v>
      </c>
      <c r="I577" s="2">
        <v>45562</v>
      </c>
      <c r="J577" t="s">
        <v>1573</v>
      </c>
      <c r="K577">
        <v>70</v>
      </c>
      <c r="L577" t="str">
        <f>IF(Table1[[#This Row],[Sales_Volume]]&gt;Table1[[#This Row],[Stock_Quantity]],"Pending","Fulfilled")</f>
        <v>Pending</v>
      </c>
      <c r="M577">
        <v>6</v>
      </c>
      <c r="N577">
        <v>26</v>
      </c>
      <c r="O577" t="str">
        <f>IF(Table1[[#This Row],[Stock_Quantity]]&lt;=Table1[[#This Row],[Reorder_Level]],"Reoeder required","Sufficient")</f>
        <v>Sufficient</v>
      </c>
      <c r="P577" t="str">
        <f>IF(Table1[[#This Row],[Stock_Quantity]]=0,"Out of stock","Available")</f>
        <v>Available</v>
      </c>
    </row>
    <row r="578" spans="1:16" x14ac:dyDescent="0.3">
      <c r="A578" t="s">
        <v>1574</v>
      </c>
      <c r="B578" t="s">
        <v>84</v>
      </c>
      <c r="C578" t="s">
        <v>45</v>
      </c>
      <c r="D578" t="s">
        <v>452</v>
      </c>
      <c r="E578">
        <v>96</v>
      </c>
      <c r="F578">
        <v>34</v>
      </c>
      <c r="G578">
        <v>57</v>
      </c>
      <c r="H578" s="1">
        <v>8</v>
      </c>
      <c r="I578" s="2">
        <v>45585</v>
      </c>
      <c r="J578" t="s">
        <v>1575</v>
      </c>
      <c r="K578">
        <v>71</v>
      </c>
      <c r="L578" t="str">
        <f>IF(Table1[[#This Row],[Sales_Volume]]&gt;Table1[[#This Row],[Stock_Quantity]],"Pending","Fulfilled")</f>
        <v>Fulfilled</v>
      </c>
      <c r="M578">
        <v>2</v>
      </c>
      <c r="N578">
        <v>17</v>
      </c>
      <c r="O578" t="str">
        <f>IF(Table1[[#This Row],[Stock_Quantity]]&lt;=Table1[[#This Row],[Reorder_Level]],"Reoeder required","Sufficient")</f>
        <v>Sufficient</v>
      </c>
      <c r="P578" t="str">
        <f>IF(Table1[[#This Row],[Stock_Quantity]]=0,"Out of stock","Available")</f>
        <v>Available</v>
      </c>
    </row>
    <row r="579" spans="1:16" x14ac:dyDescent="0.3">
      <c r="A579" t="s">
        <v>1576</v>
      </c>
      <c r="B579" t="s">
        <v>356</v>
      </c>
      <c r="C579" t="s">
        <v>31</v>
      </c>
      <c r="D579" t="s">
        <v>177</v>
      </c>
      <c r="E579">
        <v>33</v>
      </c>
      <c r="F579">
        <v>4</v>
      </c>
      <c r="G579">
        <v>31</v>
      </c>
      <c r="H579" s="1">
        <v>7</v>
      </c>
      <c r="I579" s="2">
        <v>45669</v>
      </c>
      <c r="J579" t="s">
        <v>1577</v>
      </c>
      <c r="K579">
        <v>46</v>
      </c>
      <c r="L579" t="str">
        <f>IF(Table1[[#This Row],[Sales_Volume]]&gt;Table1[[#This Row],[Stock_Quantity]],"Pending","Fulfilled")</f>
        <v>Pending</v>
      </c>
      <c r="M579">
        <v>7</v>
      </c>
      <c r="N579">
        <v>92</v>
      </c>
      <c r="O579" t="str">
        <f>IF(Table1[[#This Row],[Stock_Quantity]]&lt;=Table1[[#This Row],[Reorder_Level]],"Reoeder required","Sufficient")</f>
        <v>Sufficient</v>
      </c>
      <c r="P579" t="str">
        <f>IF(Table1[[#This Row],[Stock_Quantity]]=0,"Out of stock","Available")</f>
        <v>Available</v>
      </c>
    </row>
    <row r="580" spans="1:16" x14ac:dyDescent="0.3">
      <c r="A580" t="s">
        <v>1578</v>
      </c>
      <c r="B580" t="s">
        <v>455</v>
      </c>
      <c r="C580" t="s">
        <v>31</v>
      </c>
      <c r="D580" t="s">
        <v>1079</v>
      </c>
      <c r="E580">
        <v>33</v>
      </c>
      <c r="F580">
        <v>89</v>
      </c>
      <c r="G580">
        <v>15</v>
      </c>
      <c r="H580" s="1">
        <v>2.5</v>
      </c>
      <c r="I580" s="2">
        <v>45463</v>
      </c>
      <c r="J580" t="s">
        <v>1579</v>
      </c>
      <c r="K580">
        <v>90</v>
      </c>
      <c r="L580" t="str">
        <f>IF(Table1[[#This Row],[Sales_Volume]]&gt;Table1[[#This Row],[Stock_Quantity]],"Pending","Fulfilled")</f>
        <v>Pending</v>
      </c>
      <c r="M580">
        <v>2</v>
      </c>
      <c r="N580">
        <v>52</v>
      </c>
      <c r="O580" t="str">
        <f>IF(Table1[[#This Row],[Stock_Quantity]]&lt;=Table1[[#This Row],[Reorder_Level]],"Reoeder required","Sufficient")</f>
        <v>Reoeder required</v>
      </c>
      <c r="P580" t="str">
        <f>IF(Table1[[#This Row],[Stock_Quantity]]=0,"Out of stock","Available")</f>
        <v>Available</v>
      </c>
    </row>
    <row r="581" spans="1:16" x14ac:dyDescent="0.3">
      <c r="A581" t="s">
        <v>1580</v>
      </c>
      <c r="B581" t="s">
        <v>595</v>
      </c>
      <c r="C581" t="s">
        <v>31</v>
      </c>
      <c r="D581" t="s">
        <v>1581</v>
      </c>
      <c r="E581">
        <v>90</v>
      </c>
      <c r="F581">
        <v>17</v>
      </c>
      <c r="G581">
        <v>17</v>
      </c>
      <c r="H581" s="1">
        <v>3</v>
      </c>
      <c r="I581" s="2">
        <v>45538</v>
      </c>
      <c r="J581" t="s">
        <v>1582</v>
      </c>
      <c r="K581">
        <v>82</v>
      </c>
      <c r="L581" t="str">
        <f>IF(Table1[[#This Row],[Sales_Volume]]&gt;Table1[[#This Row],[Stock_Quantity]],"Pending","Fulfilled")</f>
        <v>Fulfilled</v>
      </c>
      <c r="M581">
        <v>6</v>
      </c>
      <c r="N581">
        <v>84</v>
      </c>
      <c r="O581" t="str">
        <f>IF(Table1[[#This Row],[Stock_Quantity]]&lt;=Table1[[#This Row],[Reorder_Level]],"Reoeder required","Sufficient")</f>
        <v>Sufficient</v>
      </c>
      <c r="P581" t="str">
        <f>IF(Table1[[#This Row],[Stock_Quantity]]=0,"Out of stock","Available")</f>
        <v>Available</v>
      </c>
    </row>
    <row r="582" spans="1:16" x14ac:dyDescent="0.3">
      <c r="A582" t="s">
        <v>1583</v>
      </c>
      <c r="B582" t="s">
        <v>861</v>
      </c>
      <c r="C582" t="s">
        <v>13</v>
      </c>
      <c r="D582" t="s">
        <v>366</v>
      </c>
      <c r="E582">
        <v>31</v>
      </c>
      <c r="F582">
        <v>29</v>
      </c>
      <c r="G582">
        <v>57</v>
      </c>
      <c r="H582" s="1">
        <v>2.5</v>
      </c>
      <c r="I582" s="2">
        <v>45461</v>
      </c>
      <c r="J582" t="s">
        <v>1584</v>
      </c>
      <c r="K582">
        <v>25</v>
      </c>
      <c r="L582" t="str">
        <f>IF(Table1[[#This Row],[Sales_Volume]]&gt;Table1[[#This Row],[Stock_Quantity]],"Pending","Fulfilled")</f>
        <v>Fulfilled</v>
      </c>
      <c r="M582">
        <v>3</v>
      </c>
      <c r="N582">
        <v>22</v>
      </c>
      <c r="O582" t="str">
        <f>IF(Table1[[#This Row],[Stock_Quantity]]&lt;=Table1[[#This Row],[Reorder_Level]],"Reoeder required","Sufficient")</f>
        <v>Sufficient</v>
      </c>
      <c r="P582" t="str">
        <f>IF(Table1[[#This Row],[Stock_Quantity]]=0,"Out of stock","Available")</f>
        <v>Available</v>
      </c>
    </row>
    <row r="583" spans="1:16" x14ac:dyDescent="0.3">
      <c r="A583" t="s">
        <v>1585</v>
      </c>
      <c r="B583" t="s">
        <v>573</v>
      </c>
      <c r="C583" t="s">
        <v>31</v>
      </c>
      <c r="D583" t="s">
        <v>1586</v>
      </c>
      <c r="E583">
        <v>92</v>
      </c>
      <c r="F583">
        <v>3</v>
      </c>
      <c r="G583">
        <v>81</v>
      </c>
      <c r="H583" s="1">
        <v>5</v>
      </c>
      <c r="I583" s="2">
        <v>45347</v>
      </c>
      <c r="J583" t="s">
        <v>1587</v>
      </c>
      <c r="K583">
        <v>62</v>
      </c>
      <c r="L583" t="str">
        <f>IF(Table1[[#This Row],[Sales_Volume]]&gt;Table1[[#This Row],[Stock_Quantity]],"Pending","Fulfilled")</f>
        <v>Fulfilled</v>
      </c>
      <c r="M583">
        <v>6</v>
      </c>
      <c r="N583">
        <v>20</v>
      </c>
      <c r="O583" t="str">
        <f>IF(Table1[[#This Row],[Stock_Quantity]]&lt;=Table1[[#This Row],[Reorder_Level]],"Reoeder required","Sufficient")</f>
        <v>Sufficient</v>
      </c>
      <c r="P583" t="str">
        <f>IF(Table1[[#This Row],[Stock_Quantity]]=0,"Out of stock","Available")</f>
        <v>Available</v>
      </c>
    </row>
    <row r="584" spans="1:16" x14ac:dyDescent="0.3">
      <c r="A584" t="s">
        <v>1588</v>
      </c>
      <c r="B584" t="s">
        <v>455</v>
      </c>
      <c r="C584" t="s">
        <v>31</v>
      </c>
      <c r="D584" t="s">
        <v>847</v>
      </c>
      <c r="E584">
        <v>66</v>
      </c>
      <c r="F584">
        <v>31</v>
      </c>
      <c r="G584">
        <v>18</v>
      </c>
      <c r="H584" s="1">
        <v>2.5</v>
      </c>
      <c r="I584" s="2">
        <v>45654</v>
      </c>
      <c r="J584" t="s">
        <v>1589</v>
      </c>
      <c r="K584">
        <v>85</v>
      </c>
      <c r="L584" t="str">
        <f>IF(Table1[[#This Row],[Sales_Volume]]&gt;Table1[[#This Row],[Stock_Quantity]],"Pending","Fulfilled")</f>
        <v>Pending</v>
      </c>
      <c r="M584">
        <v>2</v>
      </c>
      <c r="N584">
        <v>39</v>
      </c>
      <c r="O584" t="str">
        <f>IF(Table1[[#This Row],[Stock_Quantity]]&lt;=Table1[[#This Row],[Reorder_Level]],"Reoeder required","Sufficient")</f>
        <v>Sufficient</v>
      </c>
      <c r="P584" t="str">
        <f>IF(Table1[[#This Row],[Stock_Quantity]]=0,"Out of stock","Available")</f>
        <v>Available</v>
      </c>
    </row>
    <row r="585" spans="1:16" x14ac:dyDescent="0.3">
      <c r="A585" t="s">
        <v>1590</v>
      </c>
      <c r="B585" t="s">
        <v>610</v>
      </c>
      <c r="C585" t="s">
        <v>99</v>
      </c>
      <c r="D585" t="s">
        <v>961</v>
      </c>
      <c r="E585">
        <v>83</v>
      </c>
      <c r="F585">
        <v>17</v>
      </c>
      <c r="G585">
        <v>39</v>
      </c>
      <c r="H585" s="1">
        <v>10</v>
      </c>
      <c r="I585" s="2">
        <v>45484</v>
      </c>
      <c r="J585" t="s">
        <v>1591</v>
      </c>
      <c r="K585">
        <v>33</v>
      </c>
      <c r="L585" t="str">
        <f>IF(Table1[[#This Row],[Sales_Volume]]&gt;Table1[[#This Row],[Stock_Quantity]],"Pending","Fulfilled")</f>
        <v>Fulfilled</v>
      </c>
      <c r="M585">
        <v>7</v>
      </c>
      <c r="N585">
        <v>20</v>
      </c>
      <c r="O585" t="str">
        <f>IF(Table1[[#This Row],[Stock_Quantity]]&lt;=Table1[[#This Row],[Reorder_Level]],"Reoeder required","Sufficient")</f>
        <v>Sufficient</v>
      </c>
      <c r="P585" t="str">
        <f>IF(Table1[[#This Row],[Stock_Quantity]]=0,"Out of stock","Available")</f>
        <v>Available</v>
      </c>
    </row>
    <row r="586" spans="1:16" x14ac:dyDescent="0.3">
      <c r="A586" t="s">
        <v>1592</v>
      </c>
      <c r="B586" t="s">
        <v>172</v>
      </c>
      <c r="C586" t="s">
        <v>31</v>
      </c>
      <c r="D586" t="s">
        <v>1420</v>
      </c>
      <c r="E586">
        <v>84</v>
      </c>
      <c r="F586">
        <v>9</v>
      </c>
      <c r="G586">
        <v>46</v>
      </c>
      <c r="H586" s="1">
        <v>5</v>
      </c>
      <c r="I586" s="2">
        <v>45431</v>
      </c>
      <c r="J586" t="s">
        <v>1593</v>
      </c>
      <c r="K586">
        <v>30</v>
      </c>
      <c r="L586" t="str">
        <f>IF(Table1[[#This Row],[Sales_Volume]]&gt;Table1[[#This Row],[Stock_Quantity]],"Pending","Fulfilled")</f>
        <v>Fulfilled</v>
      </c>
      <c r="M586">
        <v>7</v>
      </c>
      <c r="N586">
        <v>68</v>
      </c>
      <c r="O586" t="str">
        <f>IF(Table1[[#This Row],[Stock_Quantity]]&lt;=Table1[[#This Row],[Reorder_Level]],"Reoeder required","Sufficient")</f>
        <v>Sufficient</v>
      </c>
      <c r="P586" t="str">
        <f>IF(Table1[[#This Row],[Stock_Quantity]]=0,"Out of stock","Available")</f>
        <v>Available</v>
      </c>
    </row>
    <row r="587" spans="1:16" x14ac:dyDescent="0.3">
      <c r="A587" t="s">
        <v>1594</v>
      </c>
      <c r="B587" t="s">
        <v>150</v>
      </c>
      <c r="C587" t="s">
        <v>99</v>
      </c>
      <c r="D587" t="s">
        <v>1586</v>
      </c>
      <c r="E587">
        <v>76</v>
      </c>
      <c r="F587">
        <v>57</v>
      </c>
      <c r="G587">
        <v>78</v>
      </c>
      <c r="H587" s="1">
        <v>9</v>
      </c>
      <c r="I587" s="2">
        <v>45470</v>
      </c>
      <c r="J587" t="s">
        <v>1595</v>
      </c>
      <c r="K587">
        <v>52</v>
      </c>
      <c r="L587" t="str">
        <f>IF(Table1[[#This Row],[Sales_Volume]]&gt;Table1[[#This Row],[Stock_Quantity]],"Pending","Fulfilled")</f>
        <v>Fulfilled</v>
      </c>
      <c r="M587">
        <v>1</v>
      </c>
      <c r="N587">
        <v>86</v>
      </c>
      <c r="O587" t="str">
        <f>IF(Table1[[#This Row],[Stock_Quantity]]&lt;=Table1[[#This Row],[Reorder_Level]],"Reoeder required","Sufficient")</f>
        <v>Sufficient</v>
      </c>
      <c r="P587" t="str">
        <f>IF(Table1[[#This Row],[Stock_Quantity]]=0,"Out of stock","Available")</f>
        <v>Available</v>
      </c>
    </row>
    <row r="588" spans="1:16" x14ac:dyDescent="0.3">
      <c r="A588" t="s">
        <v>1596</v>
      </c>
      <c r="B588" t="s">
        <v>418</v>
      </c>
      <c r="C588" t="s">
        <v>31</v>
      </c>
      <c r="D588" t="s">
        <v>583</v>
      </c>
      <c r="E588">
        <v>26</v>
      </c>
      <c r="F588">
        <v>1</v>
      </c>
      <c r="G588">
        <v>9</v>
      </c>
      <c r="H588" s="1">
        <v>6</v>
      </c>
      <c r="I588" s="2">
        <v>45387</v>
      </c>
      <c r="J588" t="s">
        <v>1597</v>
      </c>
      <c r="K588">
        <v>82</v>
      </c>
      <c r="L588" t="str">
        <f>IF(Table1[[#This Row],[Sales_Volume]]&gt;Table1[[#This Row],[Stock_Quantity]],"Pending","Fulfilled")</f>
        <v>Pending</v>
      </c>
      <c r="M588">
        <v>5</v>
      </c>
      <c r="N588">
        <v>8</v>
      </c>
      <c r="O588" t="str">
        <f>IF(Table1[[#This Row],[Stock_Quantity]]&lt;=Table1[[#This Row],[Reorder_Level]],"Reoeder required","Sufficient")</f>
        <v>Sufficient</v>
      </c>
      <c r="P588" t="str">
        <f>IF(Table1[[#This Row],[Stock_Quantity]]=0,"Out of stock","Available")</f>
        <v>Available</v>
      </c>
    </row>
    <row r="589" spans="1:16" x14ac:dyDescent="0.3">
      <c r="A589" t="s">
        <v>1598</v>
      </c>
      <c r="B589" t="s">
        <v>220</v>
      </c>
      <c r="C589" t="s">
        <v>18</v>
      </c>
      <c r="D589" t="s">
        <v>1599</v>
      </c>
      <c r="E589">
        <v>61</v>
      </c>
      <c r="F589">
        <v>31</v>
      </c>
      <c r="G589">
        <v>100</v>
      </c>
      <c r="H589" s="1">
        <v>12.5</v>
      </c>
      <c r="I589" s="2">
        <v>45367</v>
      </c>
      <c r="J589" t="s">
        <v>1600</v>
      </c>
      <c r="K589">
        <v>95</v>
      </c>
      <c r="L589" t="str">
        <f>IF(Table1[[#This Row],[Sales_Volume]]&gt;Table1[[#This Row],[Stock_Quantity]],"Pending","Fulfilled")</f>
        <v>Pending</v>
      </c>
      <c r="M589">
        <v>2</v>
      </c>
      <c r="N589">
        <v>61</v>
      </c>
      <c r="O589" t="str">
        <f>IF(Table1[[#This Row],[Stock_Quantity]]&lt;=Table1[[#This Row],[Reorder_Level]],"Reoeder required","Sufficient")</f>
        <v>Sufficient</v>
      </c>
      <c r="P589" t="str">
        <f>IF(Table1[[#This Row],[Stock_Quantity]]=0,"Out of stock","Available")</f>
        <v>Available</v>
      </c>
    </row>
    <row r="590" spans="1:16" x14ac:dyDescent="0.3">
      <c r="A590" t="s">
        <v>1601</v>
      </c>
      <c r="B590" t="s">
        <v>895</v>
      </c>
      <c r="C590" t="s">
        <v>45</v>
      </c>
      <c r="D590" t="s">
        <v>429</v>
      </c>
      <c r="E590">
        <v>15</v>
      </c>
      <c r="F590">
        <v>75</v>
      </c>
      <c r="G590">
        <v>78</v>
      </c>
      <c r="H590" s="1">
        <v>1.9</v>
      </c>
      <c r="I590" s="2">
        <v>45700</v>
      </c>
      <c r="J590" t="s">
        <v>1602</v>
      </c>
      <c r="K590">
        <v>71</v>
      </c>
      <c r="L590" t="str">
        <f>IF(Table1[[#This Row],[Sales_Volume]]&gt;Table1[[#This Row],[Stock_Quantity]],"Pending","Fulfilled")</f>
        <v>Pending</v>
      </c>
      <c r="M590">
        <v>7</v>
      </c>
      <c r="N590">
        <v>21</v>
      </c>
      <c r="O590" t="str">
        <f>IF(Table1[[#This Row],[Stock_Quantity]]&lt;=Table1[[#This Row],[Reorder_Level]],"Reoeder required","Sufficient")</f>
        <v>Reoeder required</v>
      </c>
      <c r="P590" t="str">
        <f>IF(Table1[[#This Row],[Stock_Quantity]]=0,"Out of stock","Available")</f>
        <v>Available</v>
      </c>
    </row>
    <row r="591" spans="1:16" x14ac:dyDescent="0.3">
      <c r="A591" t="s">
        <v>1603</v>
      </c>
      <c r="B591" t="s">
        <v>889</v>
      </c>
      <c r="C591" t="s">
        <v>31</v>
      </c>
      <c r="D591" t="s">
        <v>1604</v>
      </c>
      <c r="E591">
        <v>73</v>
      </c>
      <c r="F591">
        <v>83</v>
      </c>
      <c r="G591">
        <v>74</v>
      </c>
      <c r="H591" s="1">
        <v>5</v>
      </c>
      <c r="I591" s="2">
        <v>45693</v>
      </c>
      <c r="J591" t="s">
        <v>1605</v>
      </c>
      <c r="K591">
        <v>87</v>
      </c>
      <c r="L591" t="str">
        <f>IF(Table1[[#This Row],[Sales_Volume]]&gt;Table1[[#This Row],[Stock_Quantity]],"Pending","Fulfilled")</f>
        <v>Pending</v>
      </c>
      <c r="M591">
        <v>8</v>
      </c>
      <c r="N591">
        <v>10</v>
      </c>
      <c r="O591" t="str">
        <f>IF(Table1[[#This Row],[Stock_Quantity]]&lt;=Table1[[#This Row],[Reorder_Level]],"Reoeder required","Sufficient")</f>
        <v>Reoeder required</v>
      </c>
      <c r="P591" t="str">
        <f>IF(Table1[[#This Row],[Stock_Quantity]]=0,"Out of stock","Available")</f>
        <v>Available</v>
      </c>
    </row>
    <row r="592" spans="1:16" x14ac:dyDescent="0.3">
      <c r="A592" t="s">
        <v>1606</v>
      </c>
      <c r="B592" t="s">
        <v>588</v>
      </c>
      <c r="C592" t="s">
        <v>13</v>
      </c>
      <c r="D592" t="s">
        <v>147</v>
      </c>
      <c r="E592">
        <v>41</v>
      </c>
      <c r="F592">
        <v>76</v>
      </c>
      <c r="G592">
        <v>47</v>
      </c>
      <c r="H592" s="1">
        <v>2.65</v>
      </c>
      <c r="I592" s="2">
        <v>45402</v>
      </c>
      <c r="J592" t="s">
        <v>1607</v>
      </c>
      <c r="K592">
        <v>50</v>
      </c>
      <c r="L592" t="str">
        <f>IF(Table1[[#This Row],[Sales_Volume]]&gt;Table1[[#This Row],[Stock_Quantity]],"Pending","Fulfilled")</f>
        <v>Pending</v>
      </c>
      <c r="M592">
        <v>1</v>
      </c>
      <c r="N592">
        <v>50</v>
      </c>
      <c r="O592" t="str">
        <f>IF(Table1[[#This Row],[Stock_Quantity]]&lt;=Table1[[#This Row],[Reorder_Level]],"Reoeder required","Sufficient")</f>
        <v>Reoeder required</v>
      </c>
      <c r="P592" t="str">
        <f>IF(Table1[[#This Row],[Stock_Quantity]]=0,"Out of stock","Available")</f>
        <v>Available</v>
      </c>
    </row>
    <row r="593" spans="1:16" x14ac:dyDescent="0.3">
      <c r="A593" t="s">
        <v>1608</v>
      </c>
      <c r="B593" t="s">
        <v>462</v>
      </c>
      <c r="C593" t="s">
        <v>40</v>
      </c>
      <c r="D593" t="s">
        <v>36</v>
      </c>
      <c r="E593">
        <v>14</v>
      </c>
      <c r="F593">
        <v>75</v>
      </c>
      <c r="G593">
        <v>10</v>
      </c>
      <c r="H593" s="1">
        <v>10</v>
      </c>
      <c r="I593" s="2">
        <v>45682</v>
      </c>
      <c r="J593" t="s">
        <v>1609</v>
      </c>
      <c r="K593">
        <v>65</v>
      </c>
      <c r="L593" t="str">
        <f>IF(Table1[[#This Row],[Sales_Volume]]&gt;Table1[[#This Row],[Stock_Quantity]],"Pending","Fulfilled")</f>
        <v>Pending</v>
      </c>
      <c r="M593">
        <v>2</v>
      </c>
      <c r="N593">
        <v>62</v>
      </c>
      <c r="O593" t="str">
        <f>IF(Table1[[#This Row],[Stock_Quantity]]&lt;=Table1[[#This Row],[Reorder_Level]],"Reoeder required","Sufficient")</f>
        <v>Reoeder required</v>
      </c>
      <c r="P593" t="str">
        <f>IF(Table1[[#This Row],[Stock_Quantity]]=0,"Out of stock","Available")</f>
        <v>Available</v>
      </c>
    </row>
    <row r="594" spans="1:16" x14ac:dyDescent="0.3">
      <c r="A594" t="s">
        <v>1610</v>
      </c>
      <c r="B594" t="s">
        <v>172</v>
      </c>
      <c r="C594" t="s">
        <v>31</v>
      </c>
      <c r="D594" t="s">
        <v>583</v>
      </c>
      <c r="E594">
        <v>99</v>
      </c>
      <c r="F594">
        <v>59</v>
      </c>
      <c r="G594">
        <v>12</v>
      </c>
      <c r="H594" s="1">
        <v>5</v>
      </c>
      <c r="I594" s="2">
        <v>45555</v>
      </c>
      <c r="J594" t="s">
        <v>1611</v>
      </c>
      <c r="K594">
        <v>52</v>
      </c>
      <c r="L594" t="str">
        <f>IF(Table1[[#This Row],[Sales_Volume]]&gt;Table1[[#This Row],[Stock_Quantity]],"Pending","Fulfilled")</f>
        <v>Fulfilled</v>
      </c>
      <c r="M594">
        <v>6</v>
      </c>
      <c r="N594">
        <v>57</v>
      </c>
      <c r="O594" t="str">
        <f>IF(Table1[[#This Row],[Stock_Quantity]]&lt;=Table1[[#This Row],[Reorder_Level]],"Reoeder required","Sufficient")</f>
        <v>Sufficient</v>
      </c>
      <c r="P594" t="str">
        <f>IF(Table1[[#This Row],[Stock_Quantity]]=0,"Out of stock","Available")</f>
        <v>Available</v>
      </c>
    </row>
    <row r="595" spans="1:16" x14ac:dyDescent="0.3">
      <c r="A595" t="s">
        <v>1612</v>
      </c>
      <c r="B595" t="s">
        <v>573</v>
      </c>
      <c r="C595" t="s">
        <v>31</v>
      </c>
      <c r="D595" t="s">
        <v>1613</v>
      </c>
      <c r="E595">
        <v>80</v>
      </c>
      <c r="F595">
        <v>6</v>
      </c>
      <c r="G595">
        <v>92</v>
      </c>
      <c r="H595" s="1">
        <v>5</v>
      </c>
      <c r="I595" s="2">
        <v>45677</v>
      </c>
      <c r="J595" t="s">
        <v>1614</v>
      </c>
      <c r="K595">
        <v>26</v>
      </c>
      <c r="L595" t="str">
        <f>IF(Table1[[#This Row],[Sales_Volume]]&gt;Table1[[#This Row],[Stock_Quantity]],"Pending","Fulfilled")</f>
        <v>Fulfilled</v>
      </c>
      <c r="M595">
        <v>1</v>
      </c>
      <c r="N595">
        <v>71</v>
      </c>
      <c r="O595" t="str">
        <f>IF(Table1[[#This Row],[Stock_Quantity]]&lt;=Table1[[#This Row],[Reorder_Level]],"Reoeder required","Sufficient")</f>
        <v>Sufficient</v>
      </c>
      <c r="P595" t="str">
        <f>IF(Table1[[#This Row],[Stock_Quantity]]=0,"Out of stock","Available")</f>
        <v>Available</v>
      </c>
    </row>
    <row r="596" spans="1:16" x14ac:dyDescent="0.3">
      <c r="A596" t="s">
        <v>1615</v>
      </c>
      <c r="B596" t="s">
        <v>272</v>
      </c>
      <c r="C596" t="s">
        <v>31</v>
      </c>
      <c r="D596" t="s">
        <v>881</v>
      </c>
      <c r="E596">
        <v>49</v>
      </c>
      <c r="F596">
        <v>89</v>
      </c>
      <c r="G596">
        <v>65</v>
      </c>
      <c r="H596" s="1">
        <v>3</v>
      </c>
      <c r="I596" s="2">
        <v>45515</v>
      </c>
      <c r="J596" t="s">
        <v>1616</v>
      </c>
      <c r="K596">
        <v>37</v>
      </c>
      <c r="L596" t="str">
        <f>IF(Table1[[#This Row],[Sales_Volume]]&gt;Table1[[#This Row],[Stock_Quantity]],"Pending","Fulfilled")</f>
        <v>Fulfilled</v>
      </c>
      <c r="M596">
        <v>5</v>
      </c>
      <c r="N596">
        <v>48</v>
      </c>
      <c r="O596" t="str">
        <f>IF(Table1[[#This Row],[Stock_Quantity]]&lt;=Table1[[#This Row],[Reorder_Level]],"Reoeder required","Sufficient")</f>
        <v>Reoeder required</v>
      </c>
      <c r="P596" t="str">
        <f>IF(Table1[[#This Row],[Stock_Quantity]]=0,"Out of stock","Available")</f>
        <v>Available</v>
      </c>
    </row>
    <row r="597" spans="1:16" x14ac:dyDescent="0.3">
      <c r="A597" t="s">
        <v>1617</v>
      </c>
      <c r="B597" t="s">
        <v>846</v>
      </c>
      <c r="C597" t="s">
        <v>31</v>
      </c>
      <c r="D597" t="s">
        <v>440</v>
      </c>
      <c r="E597">
        <v>25</v>
      </c>
      <c r="F597">
        <v>74</v>
      </c>
      <c r="G597">
        <v>100</v>
      </c>
      <c r="H597" s="1">
        <v>5.5</v>
      </c>
      <c r="I597" s="2">
        <v>45633</v>
      </c>
      <c r="J597" t="s">
        <v>1618</v>
      </c>
      <c r="K597">
        <v>41</v>
      </c>
      <c r="L597" t="str">
        <f>IF(Table1[[#This Row],[Sales_Volume]]&gt;Table1[[#This Row],[Stock_Quantity]],"Pending","Fulfilled")</f>
        <v>Pending</v>
      </c>
      <c r="M597">
        <v>2</v>
      </c>
      <c r="N597">
        <v>59</v>
      </c>
      <c r="O597" t="str">
        <f>IF(Table1[[#This Row],[Stock_Quantity]]&lt;=Table1[[#This Row],[Reorder_Level]],"Reoeder required","Sufficient")</f>
        <v>Reoeder required</v>
      </c>
      <c r="P597" t="str">
        <f>IF(Table1[[#This Row],[Stock_Quantity]]=0,"Out of stock","Available")</f>
        <v>Available</v>
      </c>
    </row>
    <row r="598" spans="1:16" x14ac:dyDescent="0.3">
      <c r="A598" t="s">
        <v>1619</v>
      </c>
      <c r="B598" t="s">
        <v>563</v>
      </c>
      <c r="C598" t="s">
        <v>40</v>
      </c>
      <c r="D598" t="s">
        <v>347</v>
      </c>
      <c r="E598">
        <v>39</v>
      </c>
      <c r="F598">
        <v>78</v>
      </c>
      <c r="G598">
        <v>97</v>
      </c>
      <c r="H598" s="1">
        <v>6.5</v>
      </c>
      <c r="I598" s="2">
        <v>45584</v>
      </c>
      <c r="J598" t="s">
        <v>1620</v>
      </c>
      <c r="K598">
        <v>54</v>
      </c>
      <c r="L598" t="str">
        <f>IF(Table1[[#This Row],[Sales_Volume]]&gt;Table1[[#This Row],[Stock_Quantity]],"Pending","Fulfilled")</f>
        <v>Pending</v>
      </c>
      <c r="M598">
        <v>6</v>
      </c>
      <c r="N598">
        <v>89</v>
      </c>
      <c r="O598" t="str">
        <f>IF(Table1[[#This Row],[Stock_Quantity]]&lt;=Table1[[#This Row],[Reorder_Level]],"Reoeder required","Sufficient")</f>
        <v>Reoeder required</v>
      </c>
      <c r="P598" t="str">
        <f>IF(Table1[[#This Row],[Stock_Quantity]]=0,"Out of stock","Available")</f>
        <v>Available</v>
      </c>
    </row>
    <row r="599" spans="1:16" x14ac:dyDescent="0.3">
      <c r="A599" t="s">
        <v>1621</v>
      </c>
      <c r="B599" t="s">
        <v>211</v>
      </c>
      <c r="C599" t="s">
        <v>31</v>
      </c>
      <c r="D599" t="s">
        <v>1622</v>
      </c>
      <c r="E599">
        <v>94</v>
      </c>
      <c r="F599">
        <v>58</v>
      </c>
      <c r="G599">
        <v>17</v>
      </c>
      <c r="H599" s="1">
        <v>2.9</v>
      </c>
      <c r="I599" s="2">
        <v>45478</v>
      </c>
      <c r="J599" t="s">
        <v>1623</v>
      </c>
      <c r="K599">
        <v>57</v>
      </c>
      <c r="L599" t="str">
        <f>IF(Table1[[#This Row],[Sales_Volume]]&gt;Table1[[#This Row],[Stock_Quantity]],"Pending","Fulfilled")</f>
        <v>Fulfilled</v>
      </c>
      <c r="M599">
        <v>3</v>
      </c>
      <c r="N599">
        <v>74</v>
      </c>
      <c r="O599" t="str">
        <f>IF(Table1[[#This Row],[Stock_Quantity]]&lt;=Table1[[#This Row],[Reorder_Level]],"Reoeder required","Sufficient")</f>
        <v>Sufficient</v>
      </c>
      <c r="P599" t="str">
        <f>IF(Table1[[#This Row],[Stock_Quantity]]=0,"Out of stock","Available")</f>
        <v>Available</v>
      </c>
    </row>
    <row r="600" spans="1:16" x14ac:dyDescent="0.3">
      <c r="A600" t="s">
        <v>1624</v>
      </c>
      <c r="B600" t="s">
        <v>232</v>
      </c>
      <c r="C600" t="s">
        <v>99</v>
      </c>
      <c r="D600" t="s">
        <v>23</v>
      </c>
      <c r="E600">
        <v>11</v>
      </c>
      <c r="F600">
        <v>17</v>
      </c>
      <c r="G600">
        <v>59</v>
      </c>
      <c r="H600" s="1">
        <v>6</v>
      </c>
      <c r="I600" s="2">
        <v>45378</v>
      </c>
      <c r="J600" t="s">
        <v>1625</v>
      </c>
      <c r="K600">
        <v>69</v>
      </c>
      <c r="L600" t="str">
        <f>IF(Table1[[#This Row],[Sales_Volume]]&gt;Table1[[#This Row],[Stock_Quantity]],"Pending","Fulfilled")</f>
        <v>Pending</v>
      </c>
      <c r="M600">
        <v>4</v>
      </c>
      <c r="N600">
        <v>100</v>
      </c>
      <c r="O600" t="str">
        <f>IF(Table1[[#This Row],[Stock_Quantity]]&lt;=Table1[[#This Row],[Reorder_Level]],"Reoeder required","Sufficient")</f>
        <v>Reoeder required</v>
      </c>
      <c r="P600" t="str">
        <f>IF(Table1[[#This Row],[Stock_Quantity]]=0,"Out of stock","Available")</f>
        <v>Available</v>
      </c>
    </row>
    <row r="601" spans="1:16" x14ac:dyDescent="0.3">
      <c r="A601" t="s">
        <v>1626</v>
      </c>
      <c r="B601" t="s">
        <v>334</v>
      </c>
      <c r="C601" t="s">
        <v>40</v>
      </c>
      <c r="D601" t="s">
        <v>229</v>
      </c>
      <c r="E601">
        <v>21</v>
      </c>
      <c r="F601">
        <v>52</v>
      </c>
      <c r="G601">
        <v>80</v>
      </c>
      <c r="H601" s="1">
        <v>4</v>
      </c>
      <c r="I601" s="2">
        <v>45600</v>
      </c>
      <c r="J601" t="s">
        <v>1627</v>
      </c>
      <c r="K601">
        <v>49</v>
      </c>
      <c r="L601" t="str">
        <f>IF(Table1[[#This Row],[Sales_Volume]]&gt;Table1[[#This Row],[Stock_Quantity]],"Pending","Fulfilled")</f>
        <v>Pending</v>
      </c>
      <c r="M601">
        <v>6</v>
      </c>
      <c r="N601">
        <v>37</v>
      </c>
      <c r="O601" t="str">
        <f>IF(Table1[[#This Row],[Stock_Quantity]]&lt;=Table1[[#This Row],[Reorder_Level]],"Reoeder required","Sufficient")</f>
        <v>Reoeder required</v>
      </c>
      <c r="P601" t="str">
        <f>IF(Table1[[#This Row],[Stock_Quantity]]=0,"Out of stock","Available")</f>
        <v>Available</v>
      </c>
    </row>
    <row r="602" spans="1:16" x14ac:dyDescent="0.3">
      <c r="A602" t="s">
        <v>1628</v>
      </c>
      <c r="B602" t="s">
        <v>197</v>
      </c>
      <c r="C602" t="s">
        <v>31</v>
      </c>
      <c r="D602" t="s">
        <v>1515</v>
      </c>
      <c r="E602">
        <v>38</v>
      </c>
      <c r="F602">
        <v>91</v>
      </c>
      <c r="G602">
        <v>94</v>
      </c>
      <c r="H602" s="1">
        <v>5.7</v>
      </c>
      <c r="I602" s="2">
        <v>45705</v>
      </c>
      <c r="J602" t="s">
        <v>1629</v>
      </c>
      <c r="K602">
        <v>53</v>
      </c>
      <c r="L602" t="str">
        <f>IF(Table1[[#This Row],[Sales_Volume]]&gt;Table1[[#This Row],[Stock_Quantity]],"Pending","Fulfilled")</f>
        <v>Pending</v>
      </c>
      <c r="M602">
        <v>6</v>
      </c>
      <c r="N602">
        <v>87</v>
      </c>
      <c r="O602" t="str">
        <f>IF(Table1[[#This Row],[Stock_Quantity]]&lt;=Table1[[#This Row],[Reorder_Level]],"Reoeder required","Sufficient")</f>
        <v>Reoeder required</v>
      </c>
      <c r="P602" t="str">
        <f>IF(Table1[[#This Row],[Stock_Quantity]]=0,"Out of stock","Available")</f>
        <v>Available</v>
      </c>
    </row>
    <row r="603" spans="1:16" x14ac:dyDescent="0.3">
      <c r="A603" t="s">
        <v>1630</v>
      </c>
      <c r="B603" t="s">
        <v>350</v>
      </c>
      <c r="C603" t="s">
        <v>40</v>
      </c>
      <c r="D603" t="s">
        <v>320</v>
      </c>
      <c r="E603">
        <v>58</v>
      </c>
      <c r="F603">
        <v>23</v>
      </c>
      <c r="G603">
        <v>66</v>
      </c>
      <c r="H603" s="1">
        <v>1.8</v>
      </c>
      <c r="I603" s="2">
        <v>45424</v>
      </c>
      <c r="J603" t="s">
        <v>1631</v>
      </c>
      <c r="K603">
        <v>82</v>
      </c>
      <c r="L603" t="str">
        <f>IF(Table1[[#This Row],[Sales_Volume]]&gt;Table1[[#This Row],[Stock_Quantity]],"Pending","Fulfilled")</f>
        <v>Pending</v>
      </c>
      <c r="M603">
        <v>8</v>
      </c>
      <c r="N603">
        <v>61</v>
      </c>
      <c r="O603" t="str">
        <f>IF(Table1[[#This Row],[Stock_Quantity]]&lt;=Table1[[#This Row],[Reorder_Level]],"Reoeder required","Sufficient")</f>
        <v>Sufficient</v>
      </c>
      <c r="P603" t="str">
        <f>IF(Table1[[#This Row],[Stock_Quantity]]=0,"Out of stock","Available")</f>
        <v>Available</v>
      </c>
    </row>
    <row r="604" spans="1:16" x14ac:dyDescent="0.3">
      <c r="A604" t="s">
        <v>1632</v>
      </c>
      <c r="B604" t="s">
        <v>30</v>
      </c>
      <c r="C604" t="s">
        <v>31</v>
      </c>
      <c r="D604" t="s">
        <v>1599</v>
      </c>
      <c r="E604">
        <v>85</v>
      </c>
      <c r="F604">
        <v>16</v>
      </c>
      <c r="G604">
        <v>74</v>
      </c>
      <c r="H604" s="1">
        <v>3.85</v>
      </c>
      <c r="I604" s="2">
        <v>45573</v>
      </c>
      <c r="J604" t="s">
        <v>1633</v>
      </c>
      <c r="K604">
        <v>58</v>
      </c>
      <c r="L604" t="str">
        <f>IF(Table1[[#This Row],[Sales_Volume]]&gt;Table1[[#This Row],[Stock_Quantity]],"Pending","Fulfilled")</f>
        <v>Fulfilled</v>
      </c>
      <c r="M604">
        <v>5</v>
      </c>
      <c r="N604">
        <v>36</v>
      </c>
      <c r="O604" t="str">
        <f>IF(Table1[[#This Row],[Stock_Quantity]]&lt;=Table1[[#This Row],[Reorder_Level]],"Reoeder required","Sufficient")</f>
        <v>Sufficient</v>
      </c>
      <c r="P604" t="str">
        <f>IF(Table1[[#This Row],[Stock_Quantity]]=0,"Out of stock","Available")</f>
        <v>Available</v>
      </c>
    </row>
    <row r="605" spans="1:16" x14ac:dyDescent="0.3">
      <c r="A605" t="s">
        <v>1634</v>
      </c>
      <c r="B605" t="s">
        <v>455</v>
      </c>
      <c r="C605" t="s">
        <v>31</v>
      </c>
      <c r="D605" t="s">
        <v>23</v>
      </c>
      <c r="E605">
        <v>63</v>
      </c>
      <c r="F605">
        <v>62</v>
      </c>
      <c r="G605">
        <v>98</v>
      </c>
      <c r="H605" s="1">
        <v>2.5</v>
      </c>
      <c r="I605" s="2">
        <v>45372</v>
      </c>
      <c r="J605" t="s">
        <v>1635</v>
      </c>
      <c r="K605">
        <v>62</v>
      </c>
      <c r="L605" t="str">
        <f>IF(Table1[[#This Row],[Sales_Volume]]&gt;Table1[[#This Row],[Stock_Quantity]],"Pending","Fulfilled")</f>
        <v>Fulfilled</v>
      </c>
      <c r="M605">
        <v>4</v>
      </c>
      <c r="N605">
        <v>45</v>
      </c>
      <c r="O605" t="str">
        <f>IF(Table1[[#This Row],[Stock_Quantity]]&lt;=Table1[[#This Row],[Reorder_Level]],"Reoeder required","Sufficient")</f>
        <v>Sufficient</v>
      </c>
      <c r="P605" t="str">
        <f>IF(Table1[[#This Row],[Stock_Quantity]]=0,"Out of stock","Available")</f>
        <v>Available</v>
      </c>
    </row>
    <row r="606" spans="1:16" x14ac:dyDescent="0.3">
      <c r="A606" t="s">
        <v>1636</v>
      </c>
      <c r="B606" t="s">
        <v>1142</v>
      </c>
      <c r="C606" t="s">
        <v>40</v>
      </c>
      <c r="D606" t="s">
        <v>1637</v>
      </c>
      <c r="E606">
        <v>54</v>
      </c>
      <c r="F606">
        <v>86</v>
      </c>
      <c r="G606">
        <v>69</v>
      </c>
      <c r="H606" s="1">
        <v>5</v>
      </c>
      <c r="I606" s="2">
        <v>45519</v>
      </c>
      <c r="J606" t="s">
        <v>1638</v>
      </c>
      <c r="K606">
        <v>29</v>
      </c>
      <c r="L606" t="str">
        <f>IF(Table1[[#This Row],[Sales_Volume]]&gt;Table1[[#This Row],[Stock_Quantity]],"Pending","Fulfilled")</f>
        <v>Fulfilled</v>
      </c>
      <c r="M606">
        <v>5</v>
      </c>
      <c r="N606">
        <v>8</v>
      </c>
      <c r="O606" t="str">
        <f>IF(Table1[[#This Row],[Stock_Quantity]]&lt;=Table1[[#This Row],[Reorder_Level]],"Reoeder required","Sufficient")</f>
        <v>Reoeder required</v>
      </c>
      <c r="P606" t="str">
        <f>IF(Table1[[#This Row],[Stock_Quantity]]=0,"Out of stock","Available")</f>
        <v>Available</v>
      </c>
    </row>
    <row r="607" spans="1:16" x14ac:dyDescent="0.3">
      <c r="A607" t="s">
        <v>1639</v>
      </c>
      <c r="B607" t="s">
        <v>1640</v>
      </c>
      <c r="C607" t="s">
        <v>31</v>
      </c>
      <c r="D607" t="s">
        <v>422</v>
      </c>
      <c r="E607">
        <v>30</v>
      </c>
      <c r="F607">
        <v>25</v>
      </c>
      <c r="G607">
        <v>11</v>
      </c>
      <c r="H607" s="1">
        <v>8</v>
      </c>
      <c r="I607" s="2">
        <v>45485</v>
      </c>
      <c r="J607" t="s">
        <v>1641</v>
      </c>
      <c r="K607">
        <v>42</v>
      </c>
      <c r="L607" t="str">
        <f>IF(Table1[[#This Row],[Sales_Volume]]&gt;Table1[[#This Row],[Stock_Quantity]],"Pending","Fulfilled")</f>
        <v>Pending</v>
      </c>
      <c r="M607">
        <v>7</v>
      </c>
      <c r="N607">
        <v>76</v>
      </c>
      <c r="O607" t="str">
        <f>IF(Table1[[#This Row],[Stock_Quantity]]&lt;=Table1[[#This Row],[Reorder_Level]],"Reoeder required","Sufficient")</f>
        <v>Sufficient</v>
      </c>
      <c r="P607" t="str">
        <f>IF(Table1[[#This Row],[Stock_Quantity]]=0,"Out of stock","Available")</f>
        <v>Available</v>
      </c>
    </row>
    <row r="608" spans="1:16" x14ac:dyDescent="0.3">
      <c r="A608" t="s">
        <v>1642</v>
      </c>
      <c r="B608" t="s">
        <v>455</v>
      </c>
      <c r="C608" t="s">
        <v>31</v>
      </c>
      <c r="D608" t="s">
        <v>607</v>
      </c>
      <c r="E608">
        <v>57</v>
      </c>
      <c r="F608">
        <v>25</v>
      </c>
      <c r="G608">
        <v>98</v>
      </c>
      <c r="H608" s="1">
        <v>2.5</v>
      </c>
      <c r="I608" s="2">
        <v>45347</v>
      </c>
      <c r="J608" t="s">
        <v>1643</v>
      </c>
      <c r="K608">
        <v>78</v>
      </c>
      <c r="L608" t="str">
        <f>IF(Table1[[#This Row],[Sales_Volume]]&gt;Table1[[#This Row],[Stock_Quantity]],"Pending","Fulfilled")</f>
        <v>Pending</v>
      </c>
      <c r="M608">
        <v>5</v>
      </c>
      <c r="N608">
        <v>37</v>
      </c>
      <c r="O608" t="str">
        <f>IF(Table1[[#This Row],[Stock_Quantity]]&lt;=Table1[[#This Row],[Reorder_Level]],"Reoeder required","Sufficient")</f>
        <v>Sufficient</v>
      </c>
      <c r="P608" t="str">
        <f>IF(Table1[[#This Row],[Stock_Quantity]]=0,"Out of stock","Available")</f>
        <v>Available</v>
      </c>
    </row>
    <row r="609" spans="1:16" x14ac:dyDescent="0.3">
      <c r="A609" t="s">
        <v>1644</v>
      </c>
      <c r="B609" t="s">
        <v>542</v>
      </c>
      <c r="C609" t="s">
        <v>40</v>
      </c>
      <c r="D609" t="s">
        <v>806</v>
      </c>
      <c r="E609">
        <v>18</v>
      </c>
      <c r="F609">
        <v>72</v>
      </c>
      <c r="G609">
        <v>71</v>
      </c>
      <c r="H609" s="1">
        <v>2</v>
      </c>
      <c r="I609" s="2">
        <v>45516</v>
      </c>
      <c r="J609" t="s">
        <v>1645</v>
      </c>
      <c r="K609">
        <v>25</v>
      </c>
      <c r="L609" t="str">
        <f>IF(Table1[[#This Row],[Sales_Volume]]&gt;Table1[[#This Row],[Stock_Quantity]],"Pending","Fulfilled")</f>
        <v>Pending</v>
      </c>
      <c r="M609">
        <v>2</v>
      </c>
      <c r="N609">
        <v>81</v>
      </c>
      <c r="O609" t="str">
        <f>IF(Table1[[#This Row],[Stock_Quantity]]&lt;=Table1[[#This Row],[Reorder_Level]],"Reoeder required","Sufficient")</f>
        <v>Reoeder required</v>
      </c>
      <c r="P609" t="str">
        <f>IF(Table1[[#This Row],[Stock_Quantity]]=0,"Out of stock","Available")</f>
        <v>Available</v>
      </c>
    </row>
    <row r="610" spans="1:16" x14ac:dyDescent="0.3">
      <c r="A610" t="s">
        <v>1646</v>
      </c>
      <c r="B610" t="s">
        <v>478</v>
      </c>
      <c r="C610" t="s">
        <v>99</v>
      </c>
      <c r="D610" t="s">
        <v>1647</v>
      </c>
      <c r="E610">
        <v>16</v>
      </c>
      <c r="F610">
        <v>34</v>
      </c>
      <c r="G610">
        <v>89</v>
      </c>
      <c r="H610" s="1">
        <v>18</v>
      </c>
      <c r="I610" s="2">
        <v>45349</v>
      </c>
      <c r="J610" t="s">
        <v>1648</v>
      </c>
      <c r="K610">
        <v>35</v>
      </c>
      <c r="L610" t="str">
        <f>IF(Table1[[#This Row],[Sales_Volume]]&gt;Table1[[#This Row],[Stock_Quantity]],"Pending","Fulfilled")</f>
        <v>Pending</v>
      </c>
      <c r="M610">
        <v>4</v>
      </c>
      <c r="N610">
        <v>52</v>
      </c>
      <c r="O610" t="str">
        <f>IF(Table1[[#This Row],[Stock_Quantity]]&lt;=Table1[[#This Row],[Reorder_Level]],"Reoeder required","Sufficient")</f>
        <v>Reoeder required</v>
      </c>
      <c r="P610" t="str">
        <f>IF(Table1[[#This Row],[Stock_Quantity]]=0,"Out of stock","Available")</f>
        <v>Available</v>
      </c>
    </row>
    <row r="611" spans="1:16" x14ac:dyDescent="0.3">
      <c r="A611" t="s">
        <v>1649</v>
      </c>
      <c r="B611" t="s">
        <v>482</v>
      </c>
      <c r="C611" t="s">
        <v>45</v>
      </c>
      <c r="D611" t="s">
        <v>702</v>
      </c>
      <c r="E611">
        <v>39</v>
      </c>
      <c r="F611">
        <v>80</v>
      </c>
      <c r="G611">
        <v>68</v>
      </c>
      <c r="H611" s="1">
        <v>2.5</v>
      </c>
      <c r="I611" s="2">
        <v>45510</v>
      </c>
      <c r="J611" t="s">
        <v>1650</v>
      </c>
      <c r="K611">
        <v>46</v>
      </c>
      <c r="L611" t="str">
        <f>IF(Table1[[#This Row],[Sales_Volume]]&gt;Table1[[#This Row],[Stock_Quantity]],"Pending","Fulfilled")</f>
        <v>Pending</v>
      </c>
      <c r="M611">
        <v>2</v>
      </c>
      <c r="N611">
        <v>54</v>
      </c>
      <c r="O611" t="str">
        <f>IF(Table1[[#This Row],[Stock_Quantity]]&lt;=Table1[[#This Row],[Reorder_Level]],"Reoeder required","Sufficient")</f>
        <v>Reoeder required</v>
      </c>
      <c r="P611" t="str">
        <f>IF(Table1[[#This Row],[Stock_Quantity]]=0,"Out of stock","Available")</f>
        <v>Available</v>
      </c>
    </row>
    <row r="612" spans="1:16" x14ac:dyDescent="0.3">
      <c r="A612" t="s">
        <v>1651</v>
      </c>
      <c r="B612" t="s">
        <v>176</v>
      </c>
      <c r="C612" t="s">
        <v>31</v>
      </c>
      <c r="D612" t="s">
        <v>1452</v>
      </c>
      <c r="E612">
        <v>59</v>
      </c>
      <c r="F612">
        <v>82</v>
      </c>
      <c r="G612">
        <v>69</v>
      </c>
      <c r="H612" s="1">
        <v>2.4500000000000002</v>
      </c>
      <c r="I612" s="2">
        <v>45376</v>
      </c>
      <c r="J612" t="s">
        <v>1652</v>
      </c>
      <c r="K612">
        <v>30</v>
      </c>
      <c r="L612" t="str">
        <f>IF(Table1[[#This Row],[Sales_Volume]]&gt;Table1[[#This Row],[Stock_Quantity]],"Pending","Fulfilled")</f>
        <v>Fulfilled</v>
      </c>
      <c r="M612">
        <v>4</v>
      </c>
      <c r="N612">
        <v>34</v>
      </c>
      <c r="O612" t="str">
        <f>IF(Table1[[#This Row],[Stock_Quantity]]&lt;=Table1[[#This Row],[Reorder_Level]],"Reoeder required","Sufficient")</f>
        <v>Reoeder required</v>
      </c>
      <c r="P612" t="str">
        <f>IF(Table1[[#This Row],[Stock_Quantity]]=0,"Out of stock","Available")</f>
        <v>Available</v>
      </c>
    </row>
    <row r="613" spans="1:16" x14ac:dyDescent="0.3">
      <c r="A613" t="s">
        <v>1653</v>
      </c>
      <c r="B613" t="s">
        <v>1101</v>
      </c>
      <c r="C613" t="s">
        <v>99</v>
      </c>
      <c r="D613" t="s">
        <v>1654</v>
      </c>
      <c r="E613">
        <v>79</v>
      </c>
      <c r="F613">
        <v>28</v>
      </c>
      <c r="G613">
        <v>4</v>
      </c>
      <c r="H613" s="1">
        <v>15</v>
      </c>
      <c r="I613" s="2">
        <v>45555</v>
      </c>
      <c r="J613" t="s">
        <v>1655</v>
      </c>
      <c r="K613">
        <v>42</v>
      </c>
      <c r="L613" t="str">
        <f>IF(Table1[[#This Row],[Sales_Volume]]&gt;Table1[[#This Row],[Stock_Quantity]],"Pending","Fulfilled")</f>
        <v>Fulfilled</v>
      </c>
      <c r="M613">
        <v>1</v>
      </c>
      <c r="N613">
        <v>46</v>
      </c>
      <c r="O613" t="str">
        <f>IF(Table1[[#This Row],[Stock_Quantity]]&lt;=Table1[[#This Row],[Reorder_Level]],"Reoeder required","Sufficient")</f>
        <v>Sufficient</v>
      </c>
      <c r="P613" t="str">
        <f>IF(Table1[[#This Row],[Stock_Quantity]]=0,"Out of stock","Available")</f>
        <v>Available</v>
      </c>
    </row>
    <row r="614" spans="1:16" x14ac:dyDescent="0.3">
      <c r="A614" t="s">
        <v>1656</v>
      </c>
      <c r="B614" t="s">
        <v>119</v>
      </c>
      <c r="C614" t="s">
        <v>45</v>
      </c>
      <c r="D614" t="s">
        <v>280</v>
      </c>
      <c r="E614">
        <v>78</v>
      </c>
      <c r="F614">
        <v>61</v>
      </c>
      <c r="G614">
        <v>6</v>
      </c>
      <c r="H614" s="1">
        <v>0.8</v>
      </c>
      <c r="I614" s="2">
        <v>45571</v>
      </c>
      <c r="J614" t="s">
        <v>1657</v>
      </c>
      <c r="K614">
        <v>49</v>
      </c>
      <c r="L614" t="str">
        <f>IF(Table1[[#This Row],[Sales_Volume]]&gt;Table1[[#This Row],[Stock_Quantity]],"Pending","Fulfilled")</f>
        <v>Fulfilled</v>
      </c>
      <c r="M614">
        <v>4</v>
      </c>
      <c r="N614">
        <v>60</v>
      </c>
      <c r="O614" t="str">
        <f>IF(Table1[[#This Row],[Stock_Quantity]]&lt;=Table1[[#This Row],[Reorder_Level]],"Reoeder required","Sufficient")</f>
        <v>Sufficient</v>
      </c>
      <c r="P614" t="str">
        <f>IF(Table1[[#This Row],[Stock_Quantity]]=0,"Out of stock","Available")</f>
        <v>Available</v>
      </c>
    </row>
    <row r="615" spans="1:16" x14ac:dyDescent="0.3">
      <c r="A615" t="s">
        <v>1658</v>
      </c>
      <c r="B615" t="s">
        <v>12</v>
      </c>
      <c r="C615" t="s">
        <v>13</v>
      </c>
      <c r="D615" t="s">
        <v>1659</v>
      </c>
      <c r="E615">
        <v>22</v>
      </c>
      <c r="F615">
        <v>10</v>
      </c>
      <c r="G615">
        <v>53</v>
      </c>
      <c r="H615" s="1">
        <v>4.25</v>
      </c>
      <c r="I615" s="2">
        <v>45591</v>
      </c>
      <c r="J615" t="s">
        <v>1660</v>
      </c>
      <c r="K615">
        <v>64</v>
      </c>
      <c r="L615" t="str">
        <f>IF(Table1[[#This Row],[Sales_Volume]]&gt;Table1[[#This Row],[Stock_Quantity]],"Pending","Fulfilled")</f>
        <v>Pending</v>
      </c>
      <c r="M615">
        <v>4</v>
      </c>
      <c r="N615">
        <v>7</v>
      </c>
      <c r="O615" t="str">
        <f>IF(Table1[[#This Row],[Stock_Quantity]]&lt;=Table1[[#This Row],[Reorder_Level]],"Reoeder required","Sufficient")</f>
        <v>Sufficient</v>
      </c>
      <c r="P615" t="str">
        <f>IF(Table1[[#This Row],[Stock_Quantity]]=0,"Out of stock","Available")</f>
        <v>Available</v>
      </c>
    </row>
    <row r="616" spans="1:16" x14ac:dyDescent="0.3">
      <c r="A616" t="s">
        <v>1661</v>
      </c>
      <c r="B616" t="s">
        <v>1662</v>
      </c>
      <c r="C616" t="s">
        <v>45</v>
      </c>
      <c r="D616" t="s">
        <v>1663</v>
      </c>
      <c r="E616">
        <v>10</v>
      </c>
      <c r="F616">
        <v>17</v>
      </c>
      <c r="G616">
        <v>70</v>
      </c>
      <c r="H616" s="1">
        <v>0.2</v>
      </c>
      <c r="I616" s="2">
        <v>45649</v>
      </c>
      <c r="J616" t="s">
        <v>1664</v>
      </c>
      <c r="K616">
        <v>100</v>
      </c>
      <c r="L616" t="str">
        <f>IF(Table1[[#This Row],[Sales_Volume]]&gt;Table1[[#This Row],[Stock_Quantity]],"Pending","Fulfilled")</f>
        <v>Pending</v>
      </c>
      <c r="M616">
        <v>8</v>
      </c>
      <c r="N616">
        <v>63</v>
      </c>
      <c r="O616" t="str">
        <f>IF(Table1[[#This Row],[Stock_Quantity]]&lt;=Table1[[#This Row],[Reorder_Level]],"Reoeder required","Sufficient")</f>
        <v>Reoeder required</v>
      </c>
      <c r="P616" t="str">
        <f>IF(Table1[[#This Row],[Stock_Quantity]]=0,"Out of stock","Available")</f>
        <v>Available</v>
      </c>
    </row>
    <row r="617" spans="1:16" x14ac:dyDescent="0.3">
      <c r="A617" t="s">
        <v>1665</v>
      </c>
      <c r="B617" t="s">
        <v>296</v>
      </c>
      <c r="C617" t="s">
        <v>13</v>
      </c>
      <c r="D617" t="s">
        <v>501</v>
      </c>
      <c r="E617">
        <v>34</v>
      </c>
      <c r="F617">
        <v>32</v>
      </c>
      <c r="G617">
        <v>22</v>
      </c>
      <c r="H617" s="1">
        <v>4.5</v>
      </c>
      <c r="I617" s="2">
        <v>45598</v>
      </c>
      <c r="J617" t="s">
        <v>1666</v>
      </c>
      <c r="K617">
        <v>42</v>
      </c>
      <c r="L617" t="str">
        <f>IF(Table1[[#This Row],[Sales_Volume]]&gt;Table1[[#This Row],[Stock_Quantity]],"Pending","Fulfilled")</f>
        <v>Pending</v>
      </c>
      <c r="M617">
        <v>2</v>
      </c>
      <c r="N617">
        <v>27</v>
      </c>
      <c r="O617" t="str">
        <f>IF(Table1[[#This Row],[Stock_Quantity]]&lt;=Table1[[#This Row],[Reorder_Level]],"Reoeder required","Sufficient")</f>
        <v>Sufficient</v>
      </c>
      <c r="P617" t="str">
        <f>IF(Table1[[#This Row],[Stock_Quantity]]=0,"Out of stock","Available")</f>
        <v>Available</v>
      </c>
    </row>
    <row r="618" spans="1:16" x14ac:dyDescent="0.3">
      <c r="A618" t="s">
        <v>1667</v>
      </c>
      <c r="B618" t="s">
        <v>279</v>
      </c>
      <c r="C618" t="s">
        <v>45</v>
      </c>
      <c r="D618" t="s">
        <v>360</v>
      </c>
      <c r="E618">
        <v>74</v>
      </c>
      <c r="F618">
        <v>62</v>
      </c>
      <c r="G618">
        <v>6</v>
      </c>
      <c r="H618" s="1">
        <v>4</v>
      </c>
      <c r="I618" s="2">
        <v>45670</v>
      </c>
      <c r="J618" t="s">
        <v>1668</v>
      </c>
      <c r="K618">
        <v>65</v>
      </c>
      <c r="L618" t="str">
        <f>IF(Table1[[#This Row],[Sales_Volume]]&gt;Table1[[#This Row],[Stock_Quantity]],"Pending","Fulfilled")</f>
        <v>Fulfilled</v>
      </c>
      <c r="M618">
        <v>4</v>
      </c>
      <c r="N618">
        <v>96</v>
      </c>
      <c r="O618" t="str">
        <f>IF(Table1[[#This Row],[Stock_Quantity]]&lt;=Table1[[#This Row],[Reorder_Level]],"Reoeder required","Sufficient")</f>
        <v>Sufficient</v>
      </c>
      <c r="P618" t="str">
        <f>IF(Table1[[#This Row],[Stock_Quantity]]=0,"Out of stock","Available")</f>
        <v>Available</v>
      </c>
    </row>
    <row r="619" spans="1:16" x14ac:dyDescent="0.3">
      <c r="A619" t="s">
        <v>1669</v>
      </c>
      <c r="B619" t="s">
        <v>12</v>
      </c>
      <c r="C619" t="s">
        <v>13</v>
      </c>
      <c r="D619" t="s">
        <v>596</v>
      </c>
      <c r="E619">
        <v>10</v>
      </c>
      <c r="F619">
        <v>11</v>
      </c>
      <c r="G619">
        <v>29</v>
      </c>
      <c r="H619" s="1">
        <v>4.3</v>
      </c>
      <c r="I619" s="2">
        <v>45573</v>
      </c>
      <c r="J619" t="s">
        <v>1670</v>
      </c>
      <c r="K619">
        <v>29</v>
      </c>
      <c r="L619" t="str">
        <f>IF(Table1[[#This Row],[Sales_Volume]]&gt;Table1[[#This Row],[Stock_Quantity]],"Pending","Fulfilled")</f>
        <v>Pending</v>
      </c>
      <c r="M619">
        <v>6</v>
      </c>
      <c r="N619">
        <v>72</v>
      </c>
      <c r="O619" t="str">
        <f>IF(Table1[[#This Row],[Stock_Quantity]]&lt;=Table1[[#This Row],[Reorder_Level]],"Reoeder required","Sufficient")</f>
        <v>Reoeder required</v>
      </c>
      <c r="P619" t="str">
        <f>IF(Table1[[#This Row],[Stock_Quantity]]=0,"Out of stock","Available")</f>
        <v>Available</v>
      </c>
    </row>
    <row r="620" spans="1:16" x14ac:dyDescent="0.3">
      <c r="A620" t="s">
        <v>1671</v>
      </c>
      <c r="B620" t="s">
        <v>631</v>
      </c>
      <c r="C620" t="s">
        <v>13</v>
      </c>
      <c r="D620" t="s">
        <v>713</v>
      </c>
      <c r="E620">
        <v>11</v>
      </c>
      <c r="F620">
        <v>87</v>
      </c>
      <c r="G620">
        <v>64</v>
      </c>
      <c r="H620" s="1">
        <v>4.5</v>
      </c>
      <c r="I620" s="2">
        <v>45451</v>
      </c>
      <c r="J620" t="s">
        <v>1672</v>
      </c>
      <c r="K620">
        <v>29</v>
      </c>
      <c r="L620" t="str">
        <f>IF(Table1[[#This Row],[Sales_Volume]]&gt;Table1[[#This Row],[Stock_Quantity]],"Pending","Fulfilled")</f>
        <v>Pending</v>
      </c>
      <c r="M620">
        <v>8</v>
      </c>
      <c r="N620">
        <v>6</v>
      </c>
      <c r="O620" t="str">
        <f>IF(Table1[[#This Row],[Stock_Quantity]]&lt;=Table1[[#This Row],[Reorder_Level]],"Reoeder required","Sufficient")</f>
        <v>Reoeder required</v>
      </c>
      <c r="P620" t="str">
        <f>IF(Table1[[#This Row],[Stock_Quantity]]=0,"Out of stock","Available")</f>
        <v>Available</v>
      </c>
    </row>
    <row r="621" spans="1:16" x14ac:dyDescent="0.3">
      <c r="A621" t="s">
        <v>1673</v>
      </c>
      <c r="B621" t="s">
        <v>846</v>
      </c>
      <c r="C621" t="s">
        <v>31</v>
      </c>
      <c r="D621" t="s">
        <v>1233</v>
      </c>
      <c r="E621">
        <v>99</v>
      </c>
      <c r="F621">
        <v>68</v>
      </c>
      <c r="G621">
        <v>1</v>
      </c>
      <c r="H621" s="1">
        <v>5.5</v>
      </c>
      <c r="I621" s="2">
        <v>45347</v>
      </c>
      <c r="J621" t="s">
        <v>1674</v>
      </c>
      <c r="K621">
        <v>59</v>
      </c>
      <c r="L621" t="str">
        <f>IF(Table1[[#This Row],[Sales_Volume]]&gt;Table1[[#This Row],[Stock_Quantity]],"Pending","Fulfilled")</f>
        <v>Fulfilled</v>
      </c>
      <c r="M621">
        <v>8</v>
      </c>
      <c r="N621">
        <v>16</v>
      </c>
      <c r="O621" t="str">
        <f>IF(Table1[[#This Row],[Stock_Quantity]]&lt;=Table1[[#This Row],[Reorder_Level]],"Reoeder required","Sufficient")</f>
        <v>Sufficient</v>
      </c>
      <c r="P621" t="str">
        <f>IF(Table1[[#This Row],[Stock_Quantity]]=0,"Out of stock","Available")</f>
        <v>Available</v>
      </c>
    </row>
    <row r="622" spans="1:16" x14ac:dyDescent="0.3">
      <c r="A622" t="s">
        <v>1675</v>
      </c>
      <c r="B622" t="s">
        <v>84</v>
      </c>
      <c r="C622" t="s">
        <v>45</v>
      </c>
      <c r="D622" t="s">
        <v>526</v>
      </c>
      <c r="E622">
        <v>64</v>
      </c>
      <c r="F622">
        <v>14</v>
      </c>
      <c r="G622">
        <v>44</v>
      </c>
      <c r="H622" s="1">
        <v>8</v>
      </c>
      <c r="I622" s="2">
        <v>45428</v>
      </c>
      <c r="J622" t="s">
        <v>1676</v>
      </c>
      <c r="K622">
        <v>53</v>
      </c>
      <c r="L622" t="str">
        <f>IF(Table1[[#This Row],[Sales_Volume]]&gt;Table1[[#This Row],[Stock_Quantity]],"Pending","Fulfilled")</f>
        <v>Fulfilled</v>
      </c>
      <c r="M622">
        <v>1</v>
      </c>
      <c r="N622">
        <v>33</v>
      </c>
      <c r="O622" t="str">
        <f>IF(Table1[[#This Row],[Stock_Quantity]]&lt;=Table1[[#This Row],[Reorder_Level]],"Reoeder required","Sufficient")</f>
        <v>Sufficient</v>
      </c>
      <c r="P622" t="str">
        <f>IF(Table1[[#This Row],[Stock_Quantity]]=0,"Out of stock","Available")</f>
        <v>Available</v>
      </c>
    </row>
    <row r="623" spans="1:16" x14ac:dyDescent="0.3">
      <c r="A623" t="s">
        <v>1677</v>
      </c>
      <c r="B623" t="s">
        <v>130</v>
      </c>
      <c r="C623" t="s">
        <v>31</v>
      </c>
      <c r="D623" t="s">
        <v>1678</v>
      </c>
      <c r="E623">
        <v>58</v>
      </c>
      <c r="F623">
        <v>55</v>
      </c>
      <c r="G623">
        <v>5</v>
      </c>
      <c r="H623" s="1">
        <v>4.45</v>
      </c>
      <c r="I623" s="2">
        <v>45399</v>
      </c>
      <c r="J623" t="s">
        <v>1679</v>
      </c>
      <c r="K623">
        <v>62</v>
      </c>
      <c r="L623" t="str">
        <f>IF(Table1[[#This Row],[Sales_Volume]]&gt;Table1[[#This Row],[Stock_Quantity]],"Pending","Fulfilled")</f>
        <v>Pending</v>
      </c>
      <c r="M623">
        <v>6</v>
      </c>
      <c r="N623">
        <v>89</v>
      </c>
      <c r="O623" t="str">
        <f>IF(Table1[[#This Row],[Stock_Quantity]]&lt;=Table1[[#This Row],[Reorder_Level]],"Reoeder required","Sufficient")</f>
        <v>Sufficient</v>
      </c>
      <c r="P623" t="str">
        <f>IF(Table1[[#This Row],[Stock_Quantity]]=0,"Out of stock","Available")</f>
        <v>Available</v>
      </c>
    </row>
    <row r="624" spans="1:16" x14ac:dyDescent="0.3">
      <c r="A624" t="s">
        <v>1680</v>
      </c>
      <c r="B624" t="s">
        <v>39</v>
      </c>
      <c r="C624" t="s">
        <v>40</v>
      </c>
      <c r="D624" t="s">
        <v>131</v>
      </c>
      <c r="E624">
        <v>26</v>
      </c>
      <c r="F624">
        <v>100</v>
      </c>
      <c r="G624">
        <v>13</v>
      </c>
      <c r="H624" s="1">
        <v>2.5</v>
      </c>
      <c r="I624" s="2">
        <v>45553</v>
      </c>
      <c r="J624" t="s">
        <v>1681</v>
      </c>
      <c r="K624">
        <v>45</v>
      </c>
      <c r="L624" t="str">
        <f>IF(Table1[[#This Row],[Sales_Volume]]&gt;Table1[[#This Row],[Stock_Quantity]],"Pending","Fulfilled")</f>
        <v>Pending</v>
      </c>
      <c r="M624">
        <v>7</v>
      </c>
      <c r="N624">
        <v>45</v>
      </c>
      <c r="O624" t="str">
        <f>IF(Table1[[#This Row],[Stock_Quantity]]&lt;=Table1[[#This Row],[Reorder_Level]],"Reoeder required","Sufficient")</f>
        <v>Reoeder required</v>
      </c>
      <c r="P624" t="str">
        <f>IF(Table1[[#This Row],[Stock_Quantity]]=0,"Out of stock","Available")</f>
        <v>Available</v>
      </c>
    </row>
    <row r="625" spans="1:16" x14ac:dyDescent="0.3">
      <c r="A625" t="s">
        <v>1682</v>
      </c>
      <c r="B625" t="s">
        <v>115</v>
      </c>
      <c r="C625" t="s">
        <v>13</v>
      </c>
      <c r="D625" t="s">
        <v>488</v>
      </c>
      <c r="E625">
        <v>72</v>
      </c>
      <c r="F625">
        <v>72</v>
      </c>
      <c r="G625">
        <v>68</v>
      </c>
      <c r="H625" s="1">
        <v>1.5</v>
      </c>
      <c r="I625" s="2">
        <v>45469</v>
      </c>
      <c r="J625" t="s">
        <v>1683</v>
      </c>
      <c r="K625">
        <v>39</v>
      </c>
      <c r="L625" t="str">
        <f>IF(Table1[[#This Row],[Sales_Volume]]&gt;Table1[[#This Row],[Stock_Quantity]],"Pending","Fulfilled")</f>
        <v>Fulfilled</v>
      </c>
      <c r="M625">
        <v>4</v>
      </c>
      <c r="N625">
        <v>78</v>
      </c>
      <c r="O625" t="str">
        <f>IF(Table1[[#This Row],[Stock_Quantity]]&lt;=Table1[[#This Row],[Reorder_Level]],"Reoeder required","Sufficient")</f>
        <v>Reoeder required</v>
      </c>
      <c r="P625" t="str">
        <f>IF(Table1[[#This Row],[Stock_Quantity]]=0,"Out of stock","Available")</f>
        <v>Available</v>
      </c>
    </row>
    <row r="626" spans="1:16" x14ac:dyDescent="0.3">
      <c r="A626" t="s">
        <v>1684</v>
      </c>
      <c r="B626" t="s">
        <v>264</v>
      </c>
      <c r="C626" t="s">
        <v>45</v>
      </c>
      <c r="D626" t="s">
        <v>778</v>
      </c>
      <c r="E626">
        <v>36</v>
      </c>
      <c r="F626">
        <v>82</v>
      </c>
      <c r="G626">
        <v>85</v>
      </c>
      <c r="H626" s="1">
        <v>7.1</v>
      </c>
      <c r="I626" s="2">
        <v>45380</v>
      </c>
      <c r="J626" t="s">
        <v>1685</v>
      </c>
      <c r="K626">
        <v>27</v>
      </c>
      <c r="L626" t="str">
        <f>IF(Table1[[#This Row],[Sales_Volume]]&gt;Table1[[#This Row],[Stock_Quantity]],"Pending","Fulfilled")</f>
        <v>Fulfilled</v>
      </c>
      <c r="M626">
        <v>2</v>
      </c>
      <c r="N626">
        <v>67</v>
      </c>
      <c r="O626" t="str">
        <f>IF(Table1[[#This Row],[Stock_Quantity]]&lt;=Table1[[#This Row],[Reorder_Level]],"Reoeder required","Sufficient")</f>
        <v>Reoeder required</v>
      </c>
      <c r="P626" t="str">
        <f>IF(Table1[[#This Row],[Stock_Quantity]]=0,"Out of stock","Available")</f>
        <v>Available</v>
      </c>
    </row>
    <row r="627" spans="1:16" x14ac:dyDescent="0.3">
      <c r="A627" t="s">
        <v>1686</v>
      </c>
      <c r="B627" t="s">
        <v>123</v>
      </c>
      <c r="C627" t="s">
        <v>31</v>
      </c>
      <c r="D627" t="s">
        <v>1687</v>
      </c>
      <c r="E627">
        <v>24</v>
      </c>
      <c r="F627">
        <v>21</v>
      </c>
      <c r="G627">
        <v>4</v>
      </c>
      <c r="H627" s="1">
        <v>6</v>
      </c>
      <c r="I627" s="2">
        <v>45470</v>
      </c>
      <c r="J627" t="s">
        <v>1688</v>
      </c>
      <c r="K627">
        <v>85</v>
      </c>
      <c r="L627" t="str">
        <f>IF(Table1[[#This Row],[Sales_Volume]]&gt;Table1[[#This Row],[Stock_Quantity]],"Pending","Fulfilled")</f>
        <v>Pending</v>
      </c>
      <c r="M627">
        <v>2</v>
      </c>
      <c r="N627">
        <v>17</v>
      </c>
      <c r="O627" t="str">
        <f>IF(Table1[[#This Row],[Stock_Quantity]]&lt;=Table1[[#This Row],[Reorder_Level]],"Reoeder required","Sufficient")</f>
        <v>Sufficient</v>
      </c>
      <c r="P627" t="str">
        <f>IF(Table1[[#This Row],[Stock_Quantity]]=0,"Out of stock","Available")</f>
        <v>Available</v>
      </c>
    </row>
    <row r="628" spans="1:16" x14ac:dyDescent="0.3">
      <c r="A628" t="s">
        <v>1689</v>
      </c>
      <c r="B628" t="s">
        <v>154</v>
      </c>
      <c r="C628" t="s">
        <v>31</v>
      </c>
      <c r="D628" t="s">
        <v>639</v>
      </c>
      <c r="E628">
        <v>16</v>
      </c>
      <c r="F628">
        <v>75</v>
      </c>
      <c r="G628">
        <v>42</v>
      </c>
      <c r="H628" s="1">
        <v>2</v>
      </c>
      <c r="I628" s="2">
        <v>45372</v>
      </c>
      <c r="J628" t="s">
        <v>1690</v>
      </c>
      <c r="K628">
        <v>22</v>
      </c>
      <c r="L628" t="str">
        <f>IF(Table1[[#This Row],[Sales_Volume]]&gt;Table1[[#This Row],[Stock_Quantity]],"Pending","Fulfilled")</f>
        <v>Pending</v>
      </c>
      <c r="M628">
        <v>6</v>
      </c>
      <c r="N628">
        <v>46</v>
      </c>
      <c r="O628" t="str">
        <f>IF(Table1[[#This Row],[Stock_Quantity]]&lt;=Table1[[#This Row],[Reorder_Level]],"Reoeder required","Sufficient")</f>
        <v>Reoeder required</v>
      </c>
      <c r="P628" t="str">
        <f>IF(Table1[[#This Row],[Stock_Quantity]]=0,"Out of stock","Available")</f>
        <v>Available</v>
      </c>
    </row>
    <row r="629" spans="1:16" x14ac:dyDescent="0.3">
      <c r="A629" t="s">
        <v>1691</v>
      </c>
      <c r="B629" t="s">
        <v>412</v>
      </c>
      <c r="C629" t="s">
        <v>31</v>
      </c>
      <c r="D629" t="s">
        <v>1692</v>
      </c>
      <c r="E629">
        <v>39</v>
      </c>
      <c r="F629">
        <v>19</v>
      </c>
      <c r="G629">
        <v>18</v>
      </c>
      <c r="H629" s="1">
        <v>13.99</v>
      </c>
      <c r="I629" s="2">
        <v>45491</v>
      </c>
      <c r="J629" t="s">
        <v>1693</v>
      </c>
      <c r="K629">
        <v>58</v>
      </c>
      <c r="L629" t="str">
        <f>IF(Table1[[#This Row],[Sales_Volume]]&gt;Table1[[#This Row],[Stock_Quantity]],"Pending","Fulfilled")</f>
        <v>Pending</v>
      </c>
      <c r="M629">
        <v>7</v>
      </c>
      <c r="N629">
        <v>90</v>
      </c>
      <c r="O629" t="str">
        <f>IF(Table1[[#This Row],[Stock_Quantity]]&lt;=Table1[[#This Row],[Reorder_Level]],"Reoeder required","Sufficient")</f>
        <v>Sufficient</v>
      </c>
      <c r="P629" t="str">
        <f>IF(Table1[[#This Row],[Stock_Quantity]]=0,"Out of stock","Available")</f>
        <v>Available</v>
      </c>
    </row>
    <row r="630" spans="1:16" x14ac:dyDescent="0.3">
      <c r="A630" t="s">
        <v>1694</v>
      </c>
      <c r="B630" t="s">
        <v>164</v>
      </c>
      <c r="C630" t="s">
        <v>31</v>
      </c>
      <c r="D630" t="s">
        <v>1695</v>
      </c>
      <c r="E630">
        <v>89</v>
      </c>
      <c r="F630">
        <v>56</v>
      </c>
      <c r="G630">
        <v>74</v>
      </c>
      <c r="H630" s="1">
        <v>2.5</v>
      </c>
      <c r="I630" s="2">
        <v>45503</v>
      </c>
      <c r="J630" t="s">
        <v>1696</v>
      </c>
      <c r="K630">
        <v>27</v>
      </c>
      <c r="L630" t="str">
        <f>IF(Table1[[#This Row],[Sales_Volume]]&gt;Table1[[#This Row],[Stock_Quantity]],"Pending","Fulfilled")</f>
        <v>Fulfilled</v>
      </c>
      <c r="M630">
        <v>7</v>
      </c>
      <c r="N630">
        <v>51</v>
      </c>
      <c r="O630" t="str">
        <f>IF(Table1[[#This Row],[Stock_Quantity]]&lt;=Table1[[#This Row],[Reorder_Level]],"Reoeder required","Sufficient")</f>
        <v>Sufficient</v>
      </c>
      <c r="P630" t="str">
        <f>IF(Table1[[#This Row],[Stock_Quantity]]=0,"Out of stock","Available")</f>
        <v>Available</v>
      </c>
    </row>
    <row r="631" spans="1:16" x14ac:dyDescent="0.3">
      <c r="A631" t="s">
        <v>1697</v>
      </c>
      <c r="B631" t="s">
        <v>1640</v>
      </c>
      <c r="C631" t="s">
        <v>31</v>
      </c>
      <c r="D631" t="s">
        <v>981</v>
      </c>
      <c r="E631">
        <v>57</v>
      </c>
      <c r="F631">
        <v>82</v>
      </c>
      <c r="G631">
        <v>59</v>
      </c>
      <c r="H631" s="1">
        <v>8</v>
      </c>
      <c r="I631" s="2">
        <v>45616</v>
      </c>
      <c r="J631" t="s">
        <v>1698</v>
      </c>
      <c r="K631">
        <v>44</v>
      </c>
      <c r="L631" t="str">
        <f>IF(Table1[[#This Row],[Sales_Volume]]&gt;Table1[[#This Row],[Stock_Quantity]],"Pending","Fulfilled")</f>
        <v>Fulfilled</v>
      </c>
      <c r="M631">
        <v>8</v>
      </c>
      <c r="N631">
        <v>57</v>
      </c>
      <c r="O631" t="str">
        <f>IF(Table1[[#This Row],[Stock_Quantity]]&lt;=Table1[[#This Row],[Reorder_Level]],"Reoeder required","Sufficient")</f>
        <v>Reoeder required</v>
      </c>
      <c r="P631" t="str">
        <f>IF(Table1[[#This Row],[Stock_Quantity]]=0,"Out of stock","Available")</f>
        <v>Available</v>
      </c>
    </row>
    <row r="632" spans="1:16" x14ac:dyDescent="0.3">
      <c r="A632" t="s">
        <v>1699</v>
      </c>
      <c r="B632" t="s">
        <v>146</v>
      </c>
      <c r="C632" t="s">
        <v>18</v>
      </c>
      <c r="D632" t="s">
        <v>1700</v>
      </c>
      <c r="E632">
        <v>61</v>
      </c>
      <c r="F632">
        <v>22</v>
      </c>
      <c r="G632">
        <v>98</v>
      </c>
      <c r="H632" s="1">
        <v>30</v>
      </c>
      <c r="I632" s="2">
        <v>45567</v>
      </c>
      <c r="J632" t="s">
        <v>1701</v>
      </c>
      <c r="K632">
        <v>90</v>
      </c>
      <c r="L632" t="str">
        <f>IF(Table1[[#This Row],[Sales_Volume]]&gt;Table1[[#This Row],[Stock_Quantity]],"Pending","Fulfilled")</f>
        <v>Pending</v>
      </c>
      <c r="M632">
        <v>5</v>
      </c>
      <c r="N632">
        <v>11</v>
      </c>
      <c r="O632" t="str">
        <f>IF(Table1[[#This Row],[Stock_Quantity]]&lt;=Table1[[#This Row],[Reorder_Level]],"Reoeder required","Sufficient")</f>
        <v>Sufficient</v>
      </c>
      <c r="P632" t="str">
        <f>IF(Table1[[#This Row],[Stock_Quantity]]=0,"Out of stock","Available")</f>
        <v>Available</v>
      </c>
    </row>
    <row r="633" spans="1:16" x14ac:dyDescent="0.3">
      <c r="A633" t="s">
        <v>1702</v>
      </c>
      <c r="B633" t="s">
        <v>168</v>
      </c>
      <c r="C633" t="s">
        <v>13</v>
      </c>
      <c r="D633" t="s">
        <v>607</v>
      </c>
      <c r="E633">
        <v>56</v>
      </c>
      <c r="F633">
        <v>28</v>
      </c>
      <c r="G633">
        <v>76</v>
      </c>
      <c r="H633" s="1">
        <v>3</v>
      </c>
      <c r="I633" s="2">
        <v>45692</v>
      </c>
      <c r="J633" t="s">
        <v>1703</v>
      </c>
      <c r="K633">
        <v>93</v>
      </c>
      <c r="L633" t="str">
        <f>IF(Table1[[#This Row],[Sales_Volume]]&gt;Table1[[#This Row],[Stock_Quantity]],"Pending","Fulfilled")</f>
        <v>Pending</v>
      </c>
      <c r="M633">
        <v>2</v>
      </c>
      <c r="N633">
        <v>69</v>
      </c>
      <c r="O633" t="str">
        <f>IF(Table1[[#This Row],[Stock_Quantity]]&lt;=Table1[[#This Row],[Reorder_Level]],"Reoeder required","Sufficient")</f>
        <v>Sufficient</v>
      </c>
      <c r="P633" t="str">
        <f>IF(Table1[[#This Row],[Stock_Quantity]]=0,"Out of stock","Available")</f>
        <v>Available</v>
      </c>
    </row>
    <row r="634" spans="1:16" x14ac:dyDescent="0.3">
      <c r="A634" t="s">
        <v>1704</v>
      </c>
      <c r="B634" t="s">
        <v>313</v>
      </c>
      <c r="C634" t="s">
        <v>45</v>
      </c>
      <c r="D634" t="s">
        <v>734</v>
      </c>
      <c r="E634">
        <v>21</v>
      </c>
      <c r="F634">
        <v>24</v>
      </c>
      <c r="G634">
        <v>2</v>
      </c>
      <c r="H634" s="1">
        <v>2.35</v>
      </c>
      <c r="I634" s="2">
        <v>45546</v>
      </c>
      <c r="J634" t="s">
        <v>1705</v>
      </c>
      <c r="K634">
        <v>87</v>
      </c>
      <c r="L634" t="str">
        <f>IF(Table1[[#This Row],[Sales_Volume]]&gt;Table1[[#This Row],[Stock_Quantity]],"Pending","Fulfilled")</f>
        <v>Pending</v>
      </c>
      <c r="M634">
        <v>7</v>
      </c>
      <c r="N634">
        <v>36</v>
      </c>
      <c r="O634" t="str">
        <f>IF(Table1[[#This Row],[Stock_Quantity]]&lt;=Table1[[#This Row],[Reorder_Level]],"Reoeder required","Sufficient")</f>
        <v>Reoeder required</v>
      </c>
      <c r="P634" t="str">
        <f>IF(Table1[[#This Row],[Stock_Quantity]]=0,"Out of stock","Available")</f>
        <v>Available</v>
      </c>
    </row>
    <row r="635" spans="1:16" x14ac:dyDescent="0.3">
      <c r="A635" t="s">
        <v>1706</v>
      </c>
      <c r="B635" t="s">
        <v>846</v>
      </c>
      <c r="C635" t="s">
        <v>31</v>
      </c>
      <c r="D635" t="s">
        <v>1707</v>
      </c>
      <c r="E635">
        <v>59</v>
      </c>
      <c r="F635">
        <v>29</v>
      </c>
      <c r="G635">
        <v>100</v>
      </c>
      <c r="H635" s="1">
        <v>5.5</v>
      </c>
      <c r="I635" s="2">
        <v>45625</v>
      </c>
      <c r="J635" t="s">
        <v>1708</v>
      </c>
      <c r="K635">
        <v>74</v>
      </c>
      <c r="L635" t="str">
        <f>IF(Table1[[#This Row],[Sales_Volume]]&gt;Table1[[#This Row],[Stock_Quantity]],"Pending","Fulfilled")</f>
        <v>Pending</v>
      </c>
      <c r="M635">
        <v>3</v>
      </c>
      <c r="N635">
        <v>16</v>
      </c>
      <c r="O635" t="str">
        <f>IF(Table1[[#This Row],[Stock_Quantity]]&lt;=Table1[[#This Row],[Reorder_Level]],"Reoeder required","Sufficient")</f>
        <v>Sufficient</v>
      </c>
      <c r="P635" t="str">
        <f>IF(Table1[[#This Row],[Stock_Quantity]]=0,"Out of stock","Available")</f>
        <v>Available</v>
      </c>
    </row>
    <row r="636" spans="1:16" x14ac:dyDescent="0.3">
      <c r="A636" t="s">
        <v>1709</v>
      </c>
      <c r="B636" t="s">
        <v>220</v>
      </c>
      <c r="C636" t="s">
        <v>18</v>
      </c>
      <c r="D636" t="s">
        <v>158</v>
      </c>
      <c r="E636">
        <v>20</v>
      </c>
      <c r="F636">
        <v>68</v>
      </c>
      <c r="G636">
        <v>20</v>
      </c>
      <c r="H636" s="1">
        <v>12</v>
      </c>
      <c r="I636" s="2">
        <v>45477</v>
      </c>
      <c r="J636" t="s">
        <v>1710</v>
      </c>
      <c r="K636">
        <v>38</v>
      </c>
      <c r="L636" t="str">
        <f>IF(Table1[[#This Row],[Sales_Volume]]&gt;Table1[[#This Row],[Stock_Quantity]],"Pending","Fulfilled")</f>
        <v>Pending</v>
      </c>
      <c r="M636">
        <v>8</v>
      </c>
      <c r="N636">
        <v>51</v>
      </c>
      <c r="O636" t="str">
        <f>IF(Table1[[#This Row],[Stock_Quantity]]&lt;=Table1[[#This Row],[Reorder_Level]],"Reoeder required","Sufficient")</f>
        <v>Reoeder required</v>
      </c>
      <c r="P636" t="str">
        <f>IF(Table1[[#This Row],[Stock_Quantity]]=0,"Out of stock","Available")</f>
        <v>Available</v>
      </c>
    </row>
    <row r="637" spans="1:16" x14ac:dyDescent="0.3">
      <c r="A637" t="s">
        <v>1711</v>
      </c>
      <c r="B637" t="s">
        <v>64</v>
      </c>
      <c r="C637" t="s">
        <v>65</v>
      </c>
      <c r="D637" t="s">
        <v>674</v>
      </c>
      <c r="E637">
        <v>99</v>
      </c>
      <c r="F637">
        <v>6</v>
      </c>
      <c r="G637">
        <v>88</v>
      </c>
      <c r="H637" s="1">
        <v>3</v>
      </c>
      <c r="I637" s="2">
        <v>45489</v>
      </c>
      <c r="J637" t="s">
        <v>1712</v>
      </c>
      <c r="K637">
        <v>49</v>
      </c>
      <c r="L637" t="str">
        <f>IF(Table1[[#This Row],[Sales_Volume]]&gt;Table1[[#This Row],[Stock_Quantity]],"Pending","Fulfilled")</f>
        <v>Fulfilled</v>
      </c>
      <c r="M637">
        <v>5</v>
      </c>
      <c r="N637">
        <v>9</v>
      </c>
      <c r="O637" t="str">
        <f>IF(Table1[[#This Row],[Stock_Quantity]]&lt;=Table1[[#This Row],[Reorder_Level]],"Reoeder required","Sufficient")</f>
        <v>Sufficient</v>
      </c>
      <c r="P637" t="str">
        <f>IF(Table1[[#This Row],[Stock_Quantity]]=0,"Out of stock","Available")</f>
        <v>Available</v>
      </c>
    </row>
    <row r="638" spans="1:16" x14ac:dyDescent="0.3">
      <c r="A638" t="s">
        <v>1713</v>
      </c>
      <c r="B638" t="s">
        <v>514</v>
      </c>
      <c r="C638" t="s">
        <v>18</v>
      </c>
      <c r="D638" t="s">
        <v>343</v>
      </c>
      <c r="E638">
        <v>24</v>
      </c>
      <c r="F638">
        <v>27</v>
      </c>
      <c r="G638">
        <v>35</v>
      </c>
      <c r="H638" s="1">
        <v>8</v>
      </c>
      <c r="I638" s="2">
        <v>45688</v>
      </c>
      <c r="J638" t="s">
        <v>1714</v>
      </c>
      <c r="K638">
        <v>49</v>
      </c>
      <c r="L638" t="str">
        <f>IF(Table1[[#This Row],[Sales_Volume]]&gt;Table1[[#This Row],[Stock_Quantity]],"Pending","Fulfilled")</f>
        <v>Pending</v>
      </c>
      <c r="M638">
        <v>3</v>
      </c>
      <c r="N638">
        <v>58</v>
      </c>
      <c r="O638" t="str">
        <f>IF(Table1[[#This Row],[Stock_Quantity]]&lt;=Table1[[#This Row],[Reorder_Level]],"Reoeder required","Sufficient")</f>
        <v>Reoeder required</v>
      </c>
      <c r="P638" t="str">
        <f>IF(Table1[[#This Row],[Stock_Quantity]]=0,"Out of stock","Available")</f>
        <v>Available</v>
      </c>
    </row>
    <row r="639" spans="1:16" x14ac:dyDescent="0.3">
      <c r="A639" t="s">
        <v>1715</v>
      </c>
      <c r="B639" t="s">
        <v>12</v>
      </c>
      <c r="C639" t="s">
        <v>13</v>
      </c>
      <c r="D639" t="s">
        <v>426</v>
      </c>
      <c r="E639">
        <v>78</v>
      </c>
      <c r="F639">
        <v>94</v>
      </c>
      <c r="G639">
        <v>7</v>
      </c>
      <c r="H639" s="1">
        <v>4.3499999999999996</v>
      </c>
      <c r="I639" s="2">
        <v>45599</v>
      </c>
      <c r="J639" t="s">
        <v>1716</v>
      </c>
      <c r="K639">
        <v>69</v>
      </c>
      <c r="L639" t="str">
        <f>IF(Table1[[#This Row],[Sales_Volume]]&gt;Table1[[#This Row],[Stock_Quantity]],"Pending","Fulfilled")</f>
        <v>Fulfilled</v>
      </c>
      <c r="M639">
        <v>3</v>
      </c>
      <c r="N639">
        <v>40</v>
      </c>
      <c r="O639" t="str">
        <f>IF(Table1[[#This Row],[Stock_Quantity]]&lt;=Table1[[#This Row],[Reorder_Level]],"Reoeder required","Sufficient")</f>
        <v>Reoeder required</v>
      </c>
      <c r="P639" t="str">
        <f>IF(Table1[[#This Row],[Stock_Quantity]]=0,"Out of stock","Available")</f>
        <v>Available</v>
      </c>
    </row>
    <row r="640" spans="1:16" x14ac:dyDescent="0.3">
      <c r="A640" t="s">
        <v>1717</v>
      </c>
      <c r="B640" t="s">
        <v>53</v>
      </c>
      <c r="C640" t="s">
        <v>45</v>
      </c>
      <c r="D640" t="s">
        <v>57</v>
      </c>
      <c r="E640">
        <v>52</v>
      </c>
      <c r="F640">
        <v>31</v>
      </c>
      <c r="G640">
        <v>18</v>
      </c>
      <c r="H640" s="1">
        <v>1</v>
      </c>
      <c r="I640" s="2">
        <v>45617</v>
      </c>
      <c r="J640" t="s">
        <v>1718</v>
      </c>
      <c r="K640">
        <v>77</v>
      </c>
      <c r="L640" t="str">
        <f>IF(Table1[[#This Row],[Sales_Volume]]&gt;Table1[[#This Row],[Stock_Quantity]],"Pending","Fulfilled")</f>
        <v>Pending</v>
      </c>
      <c r="M640">
        <v>8</v>
      </c>
      <c r="N640">
        <v>16</v>
      </c>
      <c r="O640" t="str">
        <f>IF(Table1[[#This Row],[Stock_Quantity]]&lt;=Table1[[#This Row],[Reorder_Level]],"Reoeder required","Sufficient")</f>
        <v>Sufficient</v>
      </c>
      <c r="P640" t="str">
        <f>IF(Table1[[#This Row],[Stock_Quantity]]=0,"Out of stock","Available")</f>
        <v>Available</v>
      </c>
    </row>
    <row r="641" spans="1:16" x14ac:dyDescent="0.3">
      <c r="A641" t="s">
        <v>1719</v>
      </c>
      <c r="B641" t="s">
        <v>94</v>
      </c>
      <c r="C641" t="s">
        <v>31</v>
      </c>
      <c r="D641" t="s">
        <v>1720</v>
      </c>
      <c r="E641">
        <v>45</v>
      </c>
      <c r="F641">
        <v>70</v>
      </c>
      <c r="G641">
        <v>98</v>
      </c>
      <c r="H641" s="1">
        <v>2.4500000000000002</v>
      </c>
      <c r="I641" s="2">
        <v>45500</v>
      </c>
      <c r="J641" t="s">
        <v>1721</v>
      </c>
      <c r="K641">
        <v>25</v>
      </c>
      <c r="L641" t="str">
        <f>IF(Table1[[#This Row],[Sales_Volume]]&gt;Table1[[#This Row],[Stock_Quantity]],"Pending","Fulfilled")</f>
        <v>Fulfilled</v>
      </c>
      <c r="M641">
        <v>3</v>
      </c>
      <c r="N641">
        <v>39</v>
      </c>
      <c r="O641" t="str">
        <f>IF(Table1[[#This Row],[Stock_Quantity]]&lt;=Table1[[#This Row],[Reorder_Level]],"Reoeder required","Sufficient")</f>
        <v>Reoeder required</v>
      </c>
      <c r="P641" t="str">
        <f>IF(Table1[[#This Row],[Stock_Quantity]]=0,"Out of stock","Available")</f>
        <v>Available</v>
      </c>
    </row>
    <row r="642" spans="1:16" x14ac:dyDescent="0.3">
      <c r="A642" t="s">
        <v>1722</v>
      </c>
      <c r="B642" t="s">
        <v>889</v>
      </c>
      <c r="C642" t="s">
        <v>31</v>
      </c>
      <c r="D642" t="s">
        <v>1723</v>
      </c>
      <c r="E642">
        <v>89</v>
      </c>
      <c r="F642">
        <v>35</v>
      </c>
      <c r="G642">
        <v>19</v>
      </c>
      <c r="H642" s="1">
        <v>5</v>
      </c>
      <c r="I642" s="2">
        <v>45573</v>
      </c>
      <c r="J642" t="s">
        <v>1724</v>
      </c>
      <c r="K642">
        <v>49</v>
      </c>
      <c r="L642" t="str">
        <f>IF(Table1[[#This Row],[Sales_Volume]]&gt;Table1[[#This Row],[Stock_Quantity]],"Pending","Fulfilled")</f>
        <v>Fulfilled</v>
      </c>
      <c r="M642">
        <v>5</v>
      </c>
      <c r="N642">
        <v>55</v>
      </c>
      <c r="O642" t="str">
        <f>IF(Table1[[#This Row],[Stock_Quantity]]&lt;=Table1[[#This Row],[Reorder_Level]],"Reoeder required","Sufficient")</f>
        <v>Sufficient</v>
      </c>
      <c r="P642" t="str">
        <f>IF(Table1[[#This Row],[Stock_Quantity]]=0,"Out of stock","Available")</f>
        <v>Available</v>
      </c>
    </row>
    <row r="643" spans="1:16" x14ac:dyDescent="0.3">
      <c r="A643" t="s">
        <v>1725</v>
      </c>
      <c r="B643" t="s">
        <v>197</v>
      </c>
      <c r="C643" t="s">
        <v>31</v>
      </c>
      <c r="D643" t="s">
        <v>66</v>
      </c>
      <c r="E643">
        <v>63</v>
      </c>
      <c r="F643">
        <v>57</v>
      </c>
      <c r="G643">
        <v>11</v>
      </c>
      <c r="H643" s="1">
        <v>5.8</v>
      </c>
      <c r="I643" s="2">
        <v>45649</v>
      </c>
      <c r="J643" t="s">
        <v>1726</v>
      </c>
      <c r="K643">
        <v>20</v>
      </c>
      <c r="L643" t="str">
        <f>IF(Table1[[#This Row],[Sales_Volume]]&gt;Table1[[#This Row],[Stock_Quantity]],"Pending","Fulfilled")</f>
        <v>Fulfilled</v>
      </c>
      <c r="M643">
        <v>8</v>
      </c>
      <c r="N643">
        <v>100</v>
      </c>
      <c r="O643" t="str">
        <f>IF(Table1[[#This Row],[Stock_Quantity]]&lt;=Table1[[#This Row],[Reorder_Level]],"Reoeder required","Sufficient")</f>
        <v>Sufficient</v>
      </c>
      <c r="P643" t="str">
        <f>IF(Table1[[#This Row],[Stock_Quantity]]=0,"Out of stock","Available")</f>
        <v>Available</v>
      </c>
    </row>
    <row r="644" spans="1:16" x14ac:dyDescent="0.3">
      <c r="A644" t="s">
        <v>1727</v>
      </c>
      <c r="B644" t="s">
        <v>22</v>
      </c>
      <c r="C644" t="s">
        <v>13</v>
      </c>
      <c r="D644" t="s">
        <v>1226</v>
      </c>
      <c r="E644">
        <v>49</v>
      </c>
      <c r="F644">
        <v>3</v>
      </c>
      <c r="G644">
        <v>7</v>
      </c>
      <c r="H644" s="1">
        <v>6.25</v>
      </c>
      <c r="I644" s="2">
        <v>45596</v>
      </c>
      <c r="J644" t="s">
        <v>1728</v>
      </c>
      <c r="K644">
        <v>75</v>
      </c>
      <c r="L644" t="str">
        <f>IF(Table1[[#This Row],[Sales_Volume]]&gt;Table1[[#This Row],[Stock_Quantity]],"Pending","Fulfilled")</f>
        <v>Pending</v>
      </c>
      <c r="M644">
        <v>7</v>
      </c>
      <c r="N644">
        <v>46</v>
      </c>
      <c r="O644" t="str">
        <f>IF(Table1[[#This Row],[Stock_Quantity]]&lt;=Table1[[#This Row],[Reorder_Level]],"Reoeder required","Sufficient")</f>
        <v>Sufficient</v>
      </c>
      <c r="P644" t="str">
        <f>IF(Table1[[#This Row],[Stock_Quantity]]=0,"Out of stock","Available")</f>
        <v>Available</v>
      </c>
    </row>
    <row r="645" spans="1:16" x14ac:dyDescent="0.3">
      <c r="A645" t="s">
        <v>1729</v>
      </c>
      <c r="B645" t="s">
        <v>514</v>
      </c>
      <c r="C645" t="s">
        <v>18</v>
      </c>
      <c r="D645" t="s">
        <v>372</v>
      </c>
      <c r="E645">
        <v>26</v>
      </c>
      <c r="F645">
        <v>59</v>
      </c>
      <c r="G645">
        <v>54</v>
      </c>
      <c r="H645" s="1">
        <v>8</v>
      </c>
      <c r="I645" s="2">
        <v>45620</v>
      </c>
      <c r="J645" t="s">
        <v>1730</v>
      </c>
      <c r="K645">
        <v>92</v>
      </c>
      <c r="L645" t="str">
        <f>IF(Table1[[#This Row],[Sales_Volume]]&gt;Table1[[#This Row],[Stock_Quantity]],"Pending","Fulfilled")</f>
        <v>Pending</v>
      </c>
      <c r="M645">
        <v>8</v>
      </c>
      <c r="N645">
        <v>49</v>
      </c>
      <c r="O645" t="str">
        <f>IF(Table1[[#This Row],[Stock_Quantity]]&lt;=Table1[[#This Row],[Reorder_Level]],"Reoeder required","Sufficient")</f>
        <v>Reoeder required</v>
      </c>
      <c r="P645" t="str">
        <f>IF(Table1[[#This Row],[Stock_Quantity]]=0,"Out of stock","Available")</f>
        <v>Available</v>
      </c>
    </row>
    <row r="646" spans="1:16" x14ac:dyDescent="0.3">
      <c r="A646" t="s">
        <v>1731</v>
      </c>
      <c r="B646" t="s">
        <v>119</v>
      </c>
      <c r="C646" t="s">
        <v>45</v>
      </c>
      <c r="D646" t="s">
        <v>1732</v>
      </c>
      <c r="E646">
        <v>93</v>
      </c>
      <c r="F646">
        <v>68</v>
      </c>
      <c r="G646">
        <v>71</v>
      </c>
      <c r="H646" s="1">
        <v>0.8</v>
      </c>
      <c r="I646" s="2">
        <v>45362</v>
      </c>
      <c r="J646" t="s">
        <v>1733</v>
      </c>
      <c r="K646">
        <v>30</v>
      </c>
      <c r="L646" t="str">
        <f>IF(Table1[[#This Row],[Sales_Volume]]&gt;Table1[[#This Row],[Stock_Quantity]],"Pending","Fulfilled")</f>
        <v>Fulfilled</v>
      </c>
      <c r="M646">
        <v>5</v>
      </c>
      <c r="N646">
        <v>37</v>
      </c>
      <c r="O646" t="str">
        <f>IF(Table1[[#This Row],[Stock_Quantity]]&lt;=Table1[[#This Row],[Reorder_Level]],"Reoeder required","Sufficient")</f>
        <v>Sufficient</v>
      </c>
      <c r="P646" t="str">
        <f>IF(Table1[[#This Row],[Stock_Quantity]]=0,"Out of stock","Available")</f>
        <v>Available</v>
      </c>
    </row>
    <row r="647" spans="1:16" x14ac:dyDescent="0.3">
      <c r="A647" t="s">
        <v>1734</v>
      </c>
      <c r="B647" t="s">
        <v>905</v>
      </c>
      <c r="C647" t="s">
        <v>31</v>
      </c>
      <c r="D647" t="s">
        <v>27</v>
      </c>
      <c r="E647">
        <v>81</v>
      </c>
      <c r="F647">
        <v>16</v>
      </c>
      <c r="G647">
        <v>69</v>
      </c>
      <c r="H647" s="1">
        <v>4.3</v>
      </c>
      <c r="I647" s="2">
        <v>45508</v>
      </c>
      <c r="J647" t="s">
        <v>1735</v>
      </c>
      <c r="K647">
        <v>23</v>
      </c>
      <c r="L647" t="str">
        <f>IF(Table1[[#This Row],[Sales_Volume]]&gt;Table1[[#This Row],[Stock_Quantity]],"Pending","Fulfilled")</f>
        <v>Fulfilled</v>
      </c>
      <c r="M647">
        <v>2</v>
      </c>
      <c r="N647">
        <v>96</v>
      </c>
      <c r="O647" t="str">
        <f>IF(Table1[[#This Row],[Stock_Quantity]]&lt;=Table1[[#This Row],[Reorder_Level]],"Reoeder required","Sufficient")</f>
        <v>Sufficient</v>
      </c>
      <c r="P647" t="str">
        <f>IF(Table1[[#This Row],[Stock_Quantity]]=0,"Out of stock","Available")</f>
        <v>Available</v>
      </c>
    </row>
    <row r="648" spans="1:16" x14ac:dyDescent="0.3">
      <c r="A648" t="s">
        <v>1736</v>
      </c>
      <c r="B648" t="s">
        <v>279</v>
      </c>
      <c r="C648" t="s">
        <v>45</v>
      </c>
      <c r="D648" t="s">
        <v>945</v>
      </c>
      <c r="E648">
        <v>74</v>
      </c>
      <c r="F648">
        <v>60</v>
      </c>
      <c r="G648">
        <v>27</v>
      </c>
      <c r="H648" s="1">
        <v>4</v>
      </c>
      <c r="I648" s="2">
        <v>45434</v>
      </c>
      <c r="J648" t="s">
        <v>1737</v>
      </c>
      <c r="K648">
        <v>99</v>
      </c>
      <c r="L648" t="str">
        <f>IF(Table1[[#This Row],[Sales_Volume]]&gt;Table1[[#This Row],[Stock_Quantity]],"Pending","Fulfilled")</f>
        <v>Pending</v>
      </c>
      <c r="M648">
        <v>8</v>
      </c>
      <c r="N648">
        <v>68</v>
      </c>
      <c r="O648" t="str">
        <f>IF(Table1[[#This Row],[Stock_Quantity]]&lt;=Table1[[#This Row],[Reorder_Level]],"Reoeder required","Sufficient")</f>
        <v>Sufficient</v>
      </c>
      <c r="P648" t="str">
        <f>IF(Table1[[#This Row],[Stock_Quantity]]=0,"Out of stock","Available")</f>
        <v>Available</v>
      </c>
    </row>
    <row r="649" spans="1:16" x14ac:dyDescent="0.3">
      <c r="A649" t="s">
        <v>1738</v>
      </c>
      <c r="B649" t="s">
        <v>243</v>
      </c>
      <c r="C649" t="s">
        <v>18</v>
      </c>
      <c r="D649" t="s">
        <v>95</v>
      </c>
      <c r="E649">
        <v>19</v>
      </c>
      <c r="F649">
        <v>78</v>
      </c>
      <c r="G649">
        <v>90</v>
      </c>
      <c r="H649" s="1">
        <v>5</v>
      </c>
      <c r="I649" s="2">
        <v>45397</v>
      </c>
      <c r="J649" t="s">
        <v>1739</v>
      </c>
      <c r="K649">
        <v>72</v>
      </c>
      <c r="L649" t="str">
        <f>IF(Table1[[#This Row],[Sales_Volume]]&gt;Table1[[#This Row],[Stock_Quantity]],"Pending","Fulfilled")</f>
        <v>Pending</v>
      </c>
      <c r="M649">
        <v>5</v>
      </c>
      <c r="N649">
        <v>84</v>
      </c>
      <c r="O649" t="str">
        <f>IF(Table1[[#This Row],[Stock_Quantity]]&lt;=Table1[[#This Row],[Reorder_Level]],"Reoeder required","Sufficient")</f>
        <v>Reoeder required</v>
      </c>
      <c r="P649" t="str">
        <f>IF(Table1[[#This Row],[Stock_Quantity]]=0,"Out of stock","Available")</f>
        <v>Available</v>
      </c>
    </row>
    <row r="650" spans="1:16" x14ac:dyDescent="0.3">
      <c r="A650" t="s">
        <v>1740</v>
      </c>
      <c r="B650" t="s">
        <v>168</v>
      </c>
      <c r="C650" t="s">
        <v>13</v>
      </c>
      <c r="D650" t="s">
        <v>687</v>
      </c>
      <c r="E650">
        <v>64</v>
      </c>
      <c r="F650">
        <v>97</v>
      </c>
      <c r="G650">
        <v>91</v>
      </c>
      <c r="H650" s="1">
        <v>3</v>
      </c>
      <c r="I650" s="2">
        <v>45524</v>
      </c>
      <c r="J650" t="s">
        <v>1741</v>
      </c>
      <c r="K650">
        <v>48</v>
      </c>
      <c r="L650" t="str">
        <f>IF(Table1[[#This Row],[Sales_Volume]]&gt;Table1[[#This Row],[Stock_Quantity]],"Pending","Fulfilled")</f>
        <v>Fulfilled</v>
      </c>
      <c r="M650">
        <v>8</v>
      </c>
      <c r="N650">
        <v>100</v>
      </c>
      <c r="O650" t="str">
        <f>IF(Table1[[#This Row],[Stock_Quantity]]&lt;=Table1[[#This Row],[Reorder_Level]],"Reoeder required","Sufficient")</f>
        <v>Reoeder required</v>
      </c>
      <c r="P650" t="str">
        <f>IF(Table1[[#This Row],[Stock_Quantity]]=0,"Out of stock","Available")</f>
        <v>Available</v>
      </c>
    </row>
    <row r="651" spans="1:16" x14ac:dyDescent="0.3">
      <c r="A651" t="s">
        <v>1742</v>
      </c>
      <c r="B651" t="s">
        <v>283</v>
      </c>
      <c r="C651" t="s">
        <v>31</v>
      </c>
      <c r="D651" t="s">
        <v>833</v>
      </c>
      <c r="E651">
        <v>49</v>
      </c>
      <c r="F651">
        <v>93</v>
      </c>
      <c r="G651">
        <v>15</v>
      </c>
      <c r="H651" s="1">
        <v>4.5</v>
      </c>
      <c r="I651" s="2">
        <v>45413</v>
      </c>
      <c r="J651" t="s">
        <v>1743</v>
      </c>
      <c r="K651">
        <v>52</v>
      </c>
      <c r="L651" t="str">
        <f>IF(Table1[[#This Row],[Sales_Volume]]&gt;Table1[[#This Row],[Stock_Quantity]],"Pending","Fulfilled")</f>
        <v>Pending</v>
      </c>
      <c r="M651">
        <v>3</v>
      </c>
      <c r="N651">
        <v>31</v>
      </c>
      <c r="O651" t="str">
        <f>IF(Table1[[#This Row],[Stock_Quantity]]&lt;=Table1[[#This Row],[Reorder_Level]],"Reoeder required","Sufficient")</f>
        <v>Reoeder required</v>
      </c>
      <c r="P651" t="str">
        <f>IF(Table1[[#This Row],[Stock_Quantity]]=0,"Out of stock","Available")</f>
        <v>Available</v>
      </c>
    </row>
    <row r="652" spans="1:16" x14ac:dyDescent="0.3">
      <c r="A652" t="s">
        <v>1744</v>
      </c>
      <c r="B652" t="s">
        <v>111</v>
      </c>
      <c r="C652" t="s">
        <v>45</v>
      </c>
      <c r="D652" t="s">
        <v>1369</v>
      </c>
      <c r="E652">
        <v>99</v>
      </c>
      <c r="F652">
        <v>10</v>
      </c>
      <c r="G652">
        <v>88</v>
      </c>
      <c r="H652" s="1">
        <v>12</v>
      </c>
      <c r="I652" s="2">
        <v>45631</v>
      </c>
      <c r="J652" t="s">
        <v>1745</v>
      </c>
      <c r="K652">
        <v>69</v>
      </c>
      <c r="L652" t="str">
        <f>IF(Table1[[#This Row],[Sales_Volume]]&gt;Table1[[#This Row],[Stock_Quantity]],"Pending","Fulfilled")</f>
        <v>Fulfilled</v>
      </c>
      <c r="M652">
        <v>3</v>
      </c>
      <c r="N652">
        <v>98</v>
      </c>
      <c r="O652" t="str">
        <f>IF(Table1[[#This Row],[Stock_Quantity]]&lt;=Table1[[#This Row],[Reorder_Level]],"Reoeder required","Sufficient")</f>
        <v>Sufficient</v>
      </c>
      <c r="P652" t="str">
        <f>IF(Table1[[#This Row],[Stock_Quantity]]=0,"Out of stock","Available")</f>
        <v>Available</v>
      </c>
    </row>
    <row r="653" spans="1:16" x14ac:dyDescent="0.3">
      <c r="A653" t="s">
        <v>1746</v>
      </c>
      <c r="B653" t="s">
        <v>482</v>
      </c>
      <c r="C653" t="s">
        <v>45</v>
      </c>
      <c r="D653" t="s">
        <v>632</v>
      </c>
      <c r="E653">
        <v>60</v>
      </c>
      <c r="F653">
        <v>1</v>
      </c>
      <c r="G653">
        <v>42</v>
      </c>
      <c r="H653" s="1">
        <v>2.4500000000000002</v>
      </c>
      <c r="I653" s="2">
        <v>45531</v>
      </c>
      <c r="J653" t="s">
        <v>1747</v>
      </c>
      <c r="K653">
        <v>42</v>
      </c>
      <c r="L653" t="str">
        <f>IF(Table1[[#This Row],[Sales_Volume]]&gt;Table1[[#This Row],[Stock_Quantity]],"Pending","Fulfilled")</f>
        <v>Fulfilled</v>
      </c>
      <c r="M653">
        <v>2</v>
      </c>
      <c r="N653">
        <v>91</v>
      </c>
      <c r="O653" t="str">
        <f>IF(Table1[[#This Row],[Stock_Quantity]]&lt;=Table1[[#This Row],[Reorder_Level]],"Reoeder required","Sufficient")</f>
        <v>Sufficient</v>
      </c>
      <c r="P653" t="str">
        <f>IF(Table1[[#This Row],[Stock_Quantity]]=0,"Out of stock","Available")</f>
        <v>Available</v>
      </c>
    </row>
    <row r="654" spans="1:16" x14ac:dyDescent="0.3">
      <c r="A654" t="s">
        <v>1748</v>
      </c>
      <c r="B654" t="s">
        <v>107</v>
      </c>
      <c r="C654" t="s">
        <v>31</v>
      </c>
      <c r="D654" t="s">
        <v>369</v>
      </c>
      <c r="E654">
        <v>90</v>
      </c>
      <c r="F654">
        <v>1</v>
      </c>
      <c r="G654">
        <v>40</v>
      </c>
      <c r="H654" s="1">
        <v>0.9</v>
      </c>
      <c r="I654" s="2">
        <v>45668</v>
      </c>
      <c r="J654" t="s">
        <v>1749</v>
      </c>
      <c r="K654">
        <v>52</v>
      </c>
      <c r="L654" t="str">
        <f>IF(Table1[[#This Row],[Sales_Volume]]&gt;Table1[[#This Row],[Stock_Quantity]],"Pending","Fulfilled")</f>
        <v>Fulfilled</v>
      </c>
      <c r="M654">
        <v>6</v>
      </c>
      <c r="N654">
        <v>19</v>
      </c>
      <c r="O654" t="str">
        <f>IF(Table1[[#This Row],[Stock_Quantity]]&lt;=Table1[[#This Row],[Reorder_Level]],"Reoeder required","Sufficient")</f>
        <v>Sufficient</v>
      </c>
      <c r="P654" t="str">
        <f>IF(Table1[[#This Row],[Stock_Quantity]]=0,"Out of stock","Available")</f>
        <v>Available</v>
      </c>
    </row>
    <row r="655" spans="1:16" x14ac:dyDescent="0.3">
      <c r="A655" t="s">
        <v>1750</v>
      </c>
      <c r="B655" t="s">
        <v>150</v>
      </c>
      <c r="C655" t="s">
        <v>99</v>
      </c>
      <c r="D655" t="s">
        <v>169</v>
      </c>
      <c r="E655">
        <v>79</v>
      </c>
      <c r="F655">
        <v>53</v>
      </c>
      <c r="G655">
        <v>12</v>
      </c>
      <c r="H655" s="1">
        <v>9</v>
      </c>
      <c r="I655" s="2">
        <v>45441</v>
      </c>
      <c r="J655" t="s">
        <v>1751</v>
      </c>
      <c r="K655">
        <v>45</v>
      </c>
      <c r="L655" t="str">
        <f>IF(Table1[[#This Row],[Sales_Volume]]&gt;Table1[[#This Row],[Stock_Quantity]],"Pending","Fulfilled")</f>
        <v>Fulfilled</v>
      </c>
      <c r="M655">
        <v>3</v>
      </c>
      <c r="N655">
        <v>95</v>
      </c>
      <c r="O655" t="str">
        <f>IF(Table1[[#This Row],[Stock_Quantity]]&lt;=Table1[[#This Row],[Reorder_Level]],"Reoeder required","Sufficient")</f>
        <v>Sufficient</v>
      </c>
      <c r="P655" t="str">
        <f>IF(Table1[[#This Row],[Stock_Quantity]]=0,"Out of stock","Available")</f>
        <v>Available</v>
      </c>
    </row>
    <row r="656" spans="1:16" x14ac:dyDescent="0.3">
      <c r="A656" t="s">
        <v>1752</v>
      </c>
      <c r="B656" t="s">
        <v>1662</v>
      </c>
      <c r="C656" t="s">
        <v>45</v>
      </c>
      <c r="D656" t="s">
        <v>557</v>
      </c>
      <c r="E656">
        <v>22</v>
      </c>
      <c r="F656">
        <v>58</v>
      </c>
      <c r="G656">
        <v>2</v>
      </c>
      <c r="H656" s="1">
        <v>0.2</v>
      </c>
      <c r="I656" s="2">
        <v>45471</v>
      </c>
      <c r="J656" t="s">
        <v>1753</v>
      </c>
      <c r="K656">
        <v>33</v>
      </c>
      <c r="L656" t="str">
        <f>IF(Table1[[#This Row],[Sales_Volume]]&gt;Table1[[#This Row],[Stock_Quantity]],"Pending","Fulfilled")</f>
        <v>Pending</v>
      </c>
      <c r="M656">
        <v>5</v>
      </c>
      <c r="N656">
        <v>68</v>
      </c>
      <c r="O656" t="str">
        <f>IF(Table1[[#This Row],[Stock_Quantity]]&lt;=Table1[[#This Row],[Reorder_Level]],"Reoeder required","Sufficient")</f>
        <v>Reoeder required</v>
      </c>
      <c r="P656" t="str">
        <f>IF(Table1[[#This Row],[Stock_Quantity]]=0,"Out of stock","Available")</f>
        <v>Available</v>
      </c>
    </row>
    <row r="657" spans="1:16" x14ac:dyDescent="0.3">
      <c r="A657" t="s">
        <v>1754</v>
      </c>
      <c r="B657" t="s">
        <v>861</v>
      </c>
      <c r="C657" t="s">
        <v>13</v>
      </c>
      <c r="D657" t="s">
        <v>838</v>
      </c>
      <c r="E657">
        <v>51</v>
      </c>
      <c r="F657">
        <v>47</v>
      </c>
      <c r="G657">
        <v>6</v>
      </c>
      <c r="H657" s="1">
        <v>2.5</v>
      </c>
      <c r="I657" s="2">
        <v>45515</v>
      </c>
      <c r="J657" t="s">
        <v>1755</v>
      </c>
      <c r="K657">
        <v>53</v>
      </c>
      <c r="L657" t="str">
        <f>IF(Table1[[#This Row],[Sales_Volume]]&gt;Table1[[#This Row],[Stock_Quantity]],"Pending","Fulfilled")</f>
        <v>Pending</v>
      </c>
      <c r="M657">
        <v>4</v>
      </c>
      <c r="N657">
        <v>4</v>
      </c>
      <c r="O657" t="str">
        <f>IF(Table1[[#This Row],[Stock_Quantity]]&lt;=Table1[[#This Row],[Reorder_Level]],"Reoeder required","Sufficient")</f>
        <v>Sufficient</v>
      </c>
      <c r="P657" t="str">
        <f>IF(Table1[[#This Row],[Stock_Quantity]]=0,"Out of stock","Available")</f>
        <v>Available</v>
      </c>
    </row>
    <row r="658" spans="1:16" x14ac:dyDescent="0.3">
      <c r="A658" t="s">
        <v>1756</v>
      </c>
      <c r="B658" t="s">
        <v>17</v>
      </c>
      <c r="C658" t="s">
        <v>18</v>
      </c>
      <c r="D658" t="s">
        <v>546</v>
      </c>
      <c r="E658">
        <v>65</v>
      </c>
      <c r="F658">
        <v>63</v>
      </c>
      <c r="G658">
        <v>41</v>
      </c>
      <c r="H658" s="1">
        <v>20</v>
      </c>
      <c r="I658" s="2">
        <v>45664</v>
      </c>
      <c r="J658" t="s">
        <v>1757</v>
      </c>
      <c r="K658">
        <v>28</v>
      </c>
      <c r="L658" t="str">
        <f>IF(Table1[[#This Row],[Sales_Volume]]&gt;Table1[[#This Row],[Stock_Quantity]],"Pending","Fulfilled")</f>
        <v>Fulfilled</v>
      </c>
      <c r="M658">
        <v>4</v>
      </c>
      <c r="N658">
        <v>26</v>
      </c>
      <c r="O658" t="str">
        <f>IF(Table1[[#This Row],[Stock_Quantity]]&lt;=Table1[[#This Row],[Reorder_Level]],"Reoeder required","Sufficient")</f>
        <v>Sufficient</v>
      </c>
      <c r="P658" t="str">
        <f>IF(Table1[[#This Row],[Stock_Quantity]]=0,"Out of stock","Available")</f>
        <v>Available</v>
      </c>
    </row>
    <row r="659" spans="1:16" x14ac:dyDescent="0.3">
      <c r="A659" t="s">
        <v>1758</v>
      </c>
      <c r="B659" t="s">
        <v>381</v>
      </c>
      <c r="C659" t="s">
        <v>45</v>
      </c>
      <c r="D659" t="s">
        <v>871</v>
      </c>
      <c r="E659">
        <v>55</v>
      </c>
      <c r="F659">
        <v>25</v>
      </c>
      <c r="G659">
        <v>87</v>
      </c>
      <c r="H659" s="1">
        <v>4</v>
      </c>
      <c r="I659" s="2">
        <v>45353</v>
      </c>
      <c r="J659" t="s">
        <v>1759</v>
      </c>
      <c r="K659">
        <v>69</v>
      </c>
      <c r="L659" t="str">
        <f>IF(Table1[[#This Row],[Sales_Volume]]&gt;Table1[[#This Row],[Stock_Quantity]],"Pending","Fulfilled")</f>
        <v>Pending</v>
      </c>
      <c r="M659">
        <v>5</v>
      </c>
      <c r="N659">
        <v>48</v>
      </c>
      <c r="O659" t="str">
        <f>IF(Table1[[#This Row],[Stock_Quantity]]&lt;=Table1[[#This Row],[Reorder_Level]],"Reoeder required","Sufficient")</f>
        <v>Sufficient</v>
      </c>
      <c r="P659" t="str">
        <f>IF(Table1[[#This Row],[Stock_Quantity]]=0,"Out of stock","Available")</f>
        <v>Available</v>
      </c>
    </row>
    <row r="660" spans="1:16" x14ac:dyDescent="0.3">
      <c r="A660" t="s">
        <v>1760</v>
      </c>
      <c r="B660" t="s">
        <v>451</v>
      </c>
      <c r="C660" t="s">
        <v>13</v>
      </c>
      <c r="D660" t="s">
        <v>772</v>
      </c>
      <c r="E660">
        <v>18</v>
      </c>
      <c r="F660">
        <v>86</v>
      </c>
      <c r="G660">
        <v>20</v>
      </c>
      <c r="H660" s="1">
        <v>1.8</v>
      </c>
      <c r="I660" s="2">
        <v>45630</v>
      </c>
      <c r="J660" t="s">
        <v>1761</v>
      </c>
      <c r="K660">
        <v>64</v>
      </c>
      <c r="L660" t="str">
        <f>IF(Table1[[#This Row],[Sales_Volume]]&gt;Table1[[#This Row],[Stock_Quantity]],"Pending","Fulfilled")</f>
        <v>Pending</v>
      </c>
      <c r="M660">
        <v>3</v>
      </c>
      <c r="N660">
        <v>34</v>
      </c>
      <c r="O660" t="str">
        <f>IF(Table1[[#This Row],[Stock_Quantity]]&lt;=Table1[[#This Row],[Reorder_Level]],"Reoeder required","Sufficient")</f>
        <v>Reoeder required</v>
      </c>
      <c r="P660" t="str">
        <f>IF(Table1[[#This Row],[Stock_Quantity]]=0,"Out of stock","Available")</f>
        <v>Available</v>
      </c>
    </row>
    <row r="661" spans="1:16" x14ac:dyDescent="0.3">
      <c r="A661" t="s">
        <v>1762</v>
      </c>
      <c r="B661" t="s">
        <v>111</v>
      </c>
      <c r="C661" t="s">
        <v>45</v>
      </c>
      <c r="D661" t="s">
        <v>529</v>
      </c>
      <c r="E661">
        <v>37</v>
      </c>
      <c r="F661">
        <v>3</v>
      </c>
      <c r="G661">
        <v>45</v>
      </c>
      <c r="H661" s="1">
        <v>12</v>
      </c>
      <c r="I661" s="2">
        <v>45404</v>
      </c>
      <c r="J661" t="s">
        <v>1763</v>
      </c>
      <c r="K661">
        <v>39</v>
      </c>
      <c r="L661" t="str">
        <f>IF(Table1[[#This Row],[Sales_Volume]]&gt;Table1[[#This Row],[Stock_Quantity]],"Pending","Fulfilled")</f>
        <v>Pending</v>
      </c>
      <c r="M661">
        <v>6</v>
      </c>
      <c r="N661">
        <v>28</v>
      </c>
      <c r="O661" t="str">
        <f>IF(Table1[[#This Row],[Stock_Quantity]]&lt;=Table1[[#This Row],[Reorder_Level]],"Reoeder required","Sufficient")</f>
        <v>Sufficient</v>
      </c>
      <c r="P661" t="str">
        <f>IF(Table1[[#This Row],[Stock_Quantity]]=0,"Out of stock","Available")</f>
        <v>Available</v>
      </c>
    </row>
    <row r="662" spans="1:16" x14ac:dyDescent="0.3">
      <c r="A662" t="s">
        <v>1764</v>
      </c>
      <c r="B662" t="s">
        <v>1101</v>
      </c>
      <c r="C662" t="s">
        <v>99</v>
      </c>
      <c r="D662" t="s">
        <v>931</v>
      </c>
      <c r="E662">
        <v>88</v>
      </c>
      <c r="F662">
        <v>40</v>
      </c>
      <c r="G662">
        <v>29</v>
      </c>
      <c r="H662" s="1">
        <v>15</v>
      </c>
      <c r="I662" s="2">
        <v>45467</v>
      </c>
      <c r="J662" t="s">
        <v>1765</v>
      </c>
      <c r="K662">
        <v>96</v>
      </c>
      <c r="L662" t="str">
        <f>IF(Table1[[#This Row],[Sales_Volume]]&gt;Table1[[#This Row],[Stock_Quantity]],"Pending","Fulfilled")</f>
        <v>Pending</v>
      </c>
      <c r="M662">
        <v>1</v>
      </c>
      <c r="N662">
        <v>87</v>
      </c>
      <c r="O662" t="str">
        <f>IF(Table1[[#This Row],[Stock_Quantity]]&lt;=Table1[[#This Row],[Reorder_Level]],"Reoeder required","Sufficient")</f>
        <v>Sufficient</v>
      </c>
      <c r="P662" t="str">
        <f>IF(Table1[[#This Row],[Stock_Quantity]]=0,"Out of stock","Available")</f>
        <v>Available</v>
      </c>
    </row>
    <row r="663" spans="1:16" x14ac:dyDescent="0.3">
      <c r="A663" t="s">
        <v>1766</v>
      </c>
      <c r="B663" t="s">
        <v>138</v>
      </c>
      <c r="C663" t="s">
        <v>31</v>
      </c>
      <c r="D663" t="s">
        <v>135</v>
      </c>
      <c r="E663">
        <v>20</v>
      </c>
      <c r="F663">
        <v>51</v>
      </c>
      <c r="G663">
        <v>33</v>
      </c>
      <c r="H663" s="1">
        <v>3.5</v>
      </c>
      <c r="I663" s="2">
        <v>45681</v>
      </c>
      <c r="J663" t="s">
        <v>1767</v>
      </c>
      <c r="K663">
        <v>80</v>
      </c>
      <c r="L663" t="str">
        <f>IF(Table1[[#This Row],[Sales_Volume]]&gt;Table1[[#This Row],[Stock_Quantity]],"Pending","Fulfilled")</f>
        <v>Pending</v>
      </c>
      <c r="M663">
        <v>8</v>
      </c>
      <c r="N663">
        <v>41</v>
      </c>
      <c r="O663" t="str">
        <f>IF(Table1[[#This Row],[Stock_Quantity]]&lt;=Table1[[#This Row],[Reorder_Level]],"Reoeder required","Sufficient")</f>
        <v>Reoeder required</v>
      </c>
      <c r="P663" t="str">
        <f>IF(Table1[[#This Row],[Stock_Quantity]]=0,"Out of stock","Available")</f>
        <v>Available</v>
      </c>
    </row>
    <row r="664" spans="1:16" x14ac:dyDescent="0.3">
      <c r="A664" t="s">
        <v>1768</v>
      </c>
      <c r="B664" t="s">
        <v>80</v>
      </c>
      <c r="C664" t="s">
        <v>13</v>
      </c>
      <c r="D664" t="s">
        <v>229</v>
      </c>
      <c r="E664">
        <v>99</v>
      </c>
      <c r="F664">
        <v>54</v>
      </c>
      <c r="G664">
        <v>71</v>
      </c>
      <c r="H664" s="1">
        <v>1.5</v>
      </c>
      <c r="I664" s="2">
        <v>45518</v>
      </c>
      <c r="J664" t="s">
        <v>1769</v>
      </c>
      <c r="K664">
        <v>80</v>
      </c>
      <c r="L664" t="str">
        <f>IF(Table1[[#This Row],[Sales_Volume]]&gt;Table1[[#This Row],[Stock_Quantity]],"Pending","Fulfilled")</f>
        <v>Fulfilled</v>
      </c>
      <c r="M664">
        <v>8</v>
      </c>
      <c r="N664">
        <v>10</v>
      </c>
      <c r="O664" t="str">
        <f>IF(Table1[[#This Row],[Stock_Quantity]]&lt;=Table1[[#This Row],[Reorder_Level]],"Reoeder required","Sufficient")</f>
        <v>Sufficient</v>
      </c>
      <c r="P664" t="str">
        <f>IF(Table1[[#This Row],[Stock_Quantity]]=0,"Out of stock","Available")</f>
        <v>Available</v>
      </c>
    </row>
    <row r="665" spans="1:16" x14ac:dyDescent="0.3">
      <c r="A665" t="s">
        <v>1770</v>
      </c>
      <c r="B665" t="s">
        <v>573</v>
      </c>
      <c r="C665" t="s">
        <v>31</v>
      </c>
      <c r="D665" t="s">
        <v>1771</v>
      </c>
      <c r="E665">
        <v>46</v>
      </c>
      <c r="F665">
        <v>88</v>
      </c>
      <c r="G665">
        <v>20</v>
      </c>
      <c r="H665" s="1">
        <v>4.8</v>
      </c>
      <c r="I665" s="2">
        <v>45634</v>
      </c>
      <c r="J665" t="s">
        <v>1772</v>
      </c>
      <c r="K665">
        <v>59</v>
      </c>
      <c r="L665" t="str">
        <f>IF(Table1[[#This Row],[Sales_Volume]]&gt;Table1[[#This Row],[Stock_Quantity]],"Pending","Fulfilled")</f>
        <v>Pending</v>
      </c>
      <c r="M665">
        <v>4</v>
      </c>
      <c r="N665">
        <v>79</v>
      </c>
      <c r="O665" t="str">
        <f>IF(Table1[[#This Row],[Stock_Quantity]]&lt;=Table1[[#This Row],[Reorder_Level]],"Reoeder required","Sufficient")</f>
        <v>Reoeder required</v>
      </c>
      <c r="P665" t="str">
        <f>IF(Table1[[#This Row],[Stock_Quantity]]=0,"Out of stock","Available")</f>
        <v>Available</v>
      </c>
    </row>
    <row r="666" spans="1:16" x14ac:dyDescent="0.3">
      <c r="A666" t="s">
        <v>1773</v>
      </c>
      <c r="B666" t="s">
        <v>1093</v>
      </c>
      <c r="C666" t="s">
        <v>13</v>
      </c>
      <c r="D666" t="s">
        <v>1515</v>
      </c>
      <c r="E666">
        <v>19</v>
      </c>
      <c r="F666">
        <v>77</v>
      </c>
      <c r="G666">
        <v>66</v>
      </c>
      <c r="H666" s="1">
        <v>10</v>
      </c>
      <c r="I666" s="2">
        <v>45704</v>
      </c>
      <c r="J666" t="s">
        <v>1774</v>
      </c>
      <c r="K666">
        <v>62</v>
      </c>
      <c r="L666" t="str">
        <f>IF(Table1[[#This Row],[Sales_Volume]]&gt;Table1[[#This Row],[Stock_Quantity]],"Pending","Fulfilled")</f>
        <v>Pending</v>
      </c>
      <c r="M666">
        <v>4</v>
      </c>
      <c r="N666">
        <v>100</v>
      </c>
      <c r="O666" t="str">
        <f>IF(Table1[[#This Row],[Stock_Quantity]]&lt;=Table1[[#This Row],[Reorder_Level]],"Reoeder required","Sufficient")</f>
        <v>Reoeder required</v>
      </c>
      <c r="P666" t="str">
        <f>IF(Table1[[#This Row],[Stock_Quantity]]=0,"Out of stock","Available")</f>
        <v>Available</v>
      </c>
    </row>
    <row r="667" spans="1:16" x14ac:dyDescent="0.3">
      <c r="A667" t="s">
        <v>1775</v>
      </c>
      <c r="B667" t="s">
        <v>914</v>
      </c>
      <c r="C667" t="s">
        <v>45</v>
      </c>
      <c r="D667" t="s">
        <v>1126</v>
      </c>
      <c r="E667">
        <v>12</v>
      </c>
      <c r="F667">
        <v>83</v>
      </c>
      <c r="G667">
        <v>93</v>
      </c>
      <c r="H667" s="1">
        <v>1.75</v>
      </c>
      <c r="I667" s="2">
        <v>45471</v>
      </c>
      <c r="J667" t="s">
        <v>1776</v>
      </c>
      <c r="K667">
        <v>22</v>
      </c>
      <c r="L667" t="str">
        <f>IF(Table1[[#This Row],[Sales_Volume]]&gt;Table1[[#This Row],[Stock_Quantity]],"Pending","Fulfilled")</f>
        <v>Pending</v>
      </c>
      <c r="M667">
        <v>4</v>
      </c>
      <c r="N667">
        <v>9</v>
      </c>
      <c r="O667" t="str">
        <f>IF(Table1[[#This Row],[Stock_Quantity]]&lt;=Table1[[#This Row],[Reorder_Level]],"Reoeder required","Sufficient")</f>
        <v>Reoeder required</v>
      </c>
      <c r="P667" t="str">
        <f>IF(Table1[[#This Row],[Stock_Quantity]]=0,"Out of stock","Available")</f>
        <v>Available</v>
      </c>
    </row>
    <row r="668" spans="1:16" x14ac:dyDescent="0.3">
      <c r="A668" t="s">
        <v>1777</v>
      </c>
      <c r="B668" t="s">
        <v>482</v>
      </c>
      <c r="C668" t="s">
        <v>45</v>
      </c>
      <c r="D668" t="s">
        <v>1778</v>
      </c>
      <c r="E668">
        <v>69</v>
      </c>
      <c r="F668">
        <v>98</v>
      </c>
      <c r="G668">
        <v>89</v>
      </c>
      <c r="H668" s="1">
        <v>2.5499999999999998</v>
      </c>
      <c r="I668" s="2">
        <v>45391</v>
      </c>
      <c r="J668" t="s">
        <v>1779</v>
      </c>
      <c r="K668">
        <v>29</v>
      </c>
      <c r="L668" t="str">
        <f>IF(Table1[[#This Row],[Sales_Volume]]&gt;Table1[[#This Row],[Stock_Quantity]],"Pending","Fulfilled")</f>
        <v>Fulfilled</v>
      </c>
      <c r="M668">
        <v>5</v>
      </c>
      <c r="N668">
        <v>34</v>
      </c>
      <c r="O668" t="str">
        <f>IF(Table1[[#This Row],[Stock_Quantity]]&lt;=Table1[[#This Row],[Reorder_Level]],"Reoeder required","Sufficient")</f>
        <v>Reoeder required</v>
      </c>
      <c r="P668" t="str">
        <f>IF(Table1[[#This Row],[Stock_Quantity]]=0,"Out of stock","Available")</f>
        <v>Available</v>
      </c>
    </row>
    <row r="669" spans="1:16" x14ac:dyDescent="0.3">
      <c r="A669" t="s">
        <v>1780</v>
      </c>
      <c r="B669" t="s">
        <v>53</v>
      </c>
      <c r="C669" t="s">
        <v>45</v>
      </c>
      <c r="D669" t="s">
        <v>201</v>
      </c>
      <c r="E669">
        <v>63</v>
      </c>
      <c r="F669">
        <v>38</v>
      </c>
      <c r="G669">
        <v>77</v>
      </c>
      <c r="H669" s="1">
        <v>1</v>
      </c>
      <c r="I669" s="2">
        <v>45700</v>
      </c>
      <c r="J669" t="s">
        <v>1781</v>
      </c>
      <c r="K669">
        <v>23</v>
      </c>
      <c r="L669" t="str">
        <f>IF(Table1[[#This Row],[Sales_Volume]]&gt;Table1[[#This Row],[Stock_Quantity]],"Pending","Fulfilled")</f>
        <v>Fulfilled</v>
      </c>
      <c r="M669">
        <v>5</v>
      </c>
      <c r="N669">
        <v>18</v>
      </c>
      <c r="O669" t="str">
        <f>IF(Table1[[#This Row],[Stock_Quantity]]&lt;=Table1[[#This Row],[Reorder_Level]],"Reoeder required","Sufficient")</f>
        <v>Sufficient</v>
      </c>
      <c r="P669" t="str">
        <f>IF(Table1[[#This Row],[Stock_Quantity]]=0,"Out of stock","Available")</f>
        <v>Available</v>
      </c>
    </row>
    <row r="670" spans="1:16" x14ac:dyDescent="0.3">
      <c r="A670" t="s">
        <v>1782</v>
      </c>
      <c r="B670" t="s">
        <v>573</v>
      </c>
      <c r="C670" t="s">
        <v>31</v>
      </c>
      <c r="D670" t="s">
        <v>1783</v>
      </c>
      <c r="E670">
        <v>78</v>
      </c>
      <c r="F670">
        <v>16</v>
      </c>
      <c r="G670">
        <v>37</v>
      </c>
      <c r="H670" s="1">
        <v>4.7</v>
      </c>
      <c r="I670" s="2">
        <v>45630</v>
      </c>
      <c r="J670" t="s">
        <v>1784</v>
      </c>
      <c r="K670">
        <v>25</v>
      </c>
      <c r="L670" t="str">
        <f>IF(Table1[[#This Row],[Sales_Volume]]&gt;Table1[[#This Row],[Stock_Quantity]],"Pending","Fulfilled")</f>
        <v>Fulfilled</v>
      </c>
      <c r="M670">
        <v>8</v>
      </c>
      <c r="N670">
        <v>96</v>
      </c>
      <c r="O670" t="str">
        <f>IF(Table1[[#This Row],[Stock_Quantity]]&lt;=Table1[[#This Row],[Reorder_Level]],"Reoeder required","Sufficient")</f>
        <v>Sufficient</v>
      </c>
      <c r="P670" t="str">
        <f>IF(Table1[[#This Row],[Stock_Quantity]]=0,"Out of stock","Available")</f>
        <v>Available</v>
      </c>
    </row>
    <row r="671" spans="1:16" x14ac:dyDescent="0.3">
      <c r="A671" t="s">
        <v>1785</v>
      </c>
      <c r="B671" t="s">
        <v>217</v>
      </c>
      <c r="C671" t="s">
        <v>65</v>
      </c>
      <c r="D671" t="s">
        <v>88</v>
      </c>
      <c r="E671">
        <v>72</v>
      </c>
      <c r="F671">
        <v>20</v>
      </c>
      <c r="G671">
        <v>71</v>
      </c>
      <c r="H671" s="1">
        <v>2.5</v>
      </c>
      <c r="I671" s="2">
        <v>45429</v>
      </c>
      <c r="J671" t="s">
        <v>1786</v>
      </c>
      <c r="K671">
        <v>87</v>
      </c>
      <c r="L671" t="str">
        <f>IF(Table1[[#This Row],[Sales_Volume]]&gt;Table1[[#This Row],[Stock_Quantity]],"Pending","Fulfilled")</f>
        <v>Pending</v>
      </c>
      <c r="M671">
        <v>2</v>
      </c>
      <c r="N671">
        <v>68</v>
      </c>
      <c r="O671" t="str">
        <f>IF(Table1[[#This Row],[Stock_Quantity]]&lt;=Table1[[#This Row],[Reorder_Level]],"Reoeder required","Sufficient")</f>
        <v>Sufficient</v>
      </c>
      <c r="P671" t="str">
        <f>IF(Table1[[#This Row],[Stock_Quantity]]=0,"Out of stock","Available")</f>
        <v>Available</v>
      </c>
    </row>
    <row r="672" spans="1:16" x14ac:dyDescent="0.3">
      <c r="A672" t="s">
        <v>1787</v>
      </c>
      <c r="B672" t="s">
        <v>1093</v>
      </c>
      <c r="C672" t="s">
        <v>13</v>
      </c>
      <c r="D672" t="s">
        <v>662</v>
      </c>
      <c r="E672">
        <v>58</v>
      </c>
      <c r="F672">
        <v>24</v>
      </c>
      <c r="G672">
        <v>25</v>
      </c>
      <c r="H672" s="1">
        <v>10</v>
      </c>
      <c r="I672" s="2">
        <v>45613</v>
      </c>
      <c r="J672" t="s">
        <v>1788</v>
      </c>
      <c r="K672">
        <v>75</v>
      </c>
      <c r="L672" t="str">
        <f>IF(Table1[[#This Row],[Sales_Volume]]&gt;Table1[[#This Row],[Stock_Quantity]],"Pending","Fulfilled")</f>
        <v>Pending</v>
      </c>
      <c r="M672">
        <v>5</v>
      </c>
      <c r="N672">
        <v>26</v>
      </c>
      <c r="O672" t="str">
        <f>IF(Table1[[#This Row],[Stock_Quantity]]&lt;=Table1[[#This Row],[Reorder_Level]],"Reoeder required","Sufficient")</f>
        <v>Sufficient</v>
      </c>
      <c r="P672" t="str">
        <f>IF(Table1[[#This Row],[Stock_Quantity]]=0,"Out of stock","Available")</f>
        <v>Available</v>
      </c>
    </row>
    <row r="673" spans="1:16" x14ac:dyDescent="0.3">
      <c r="A673" t="s">
        <v>1789</v>
      </c>
      <c r="B673" t="s">
        <v>44</v>
      </c>
      <c r="C673" t="s">
        <v>45</v>
      </c>
      <c r="D673" t="s">
        <v>1790</v>
      </c>
      <c r="E673">
        <v>88</v>
      </c>
      <c r="F673">
        <v>22</v>
      </c>
      <c r="G673">
        <v>61</v>
      </c>
      <c r="H673" s="1">
        <v>2.5</v>
      </c>
      <c r="I673" s="2">
        <v>45564</v>
      </c>
      <c r="J673" t="s">
        <v>1791</v>
      </c>
      <c r="K673">
        <v>54</v>
      </c>
      <c r="L673" t="str">
        <f>IF(Table1[[#This Row],[Sales_Volume]]&gt;Table1[[#This Row],[Stock_Quantity]],"Pending","Fulfilled")</f>
        <v>Fulfilled</v>
      </c>
      <c r="M673">
        <v>2</v>
      </c>
      <c r="N673">
        <v>100</v>
      </c>
      <c r="O673" t="str">
        <f>IF(Table1[[#This Row],[Stock_Quantity]]&lt;=Table1[[#This Row],[Reorder_Level]],"Reoeder required","Sufficient")</f>
        <v>Sufficient</v>
      </c>
      <c r="P673" t="str">
        <f>IF(Table1[[#This Row],[Stock_Quantity]]=0,"Out of stock","Available")</f>
        <v>Available</v>
      </c>
    </row>
    <row r="674" spans="1:16" x14ac:dyDescent="0.3">
      <c r="A674" t="s">
        <v>1792</v>
      </c>
      <c r="B674" t="s">
        <v>451</v>
      </c>
      <c r="C674" t="s">
        <v>13</v>
      </c>
      <c r="D674" t="s">
        <v>1037</v>
      </c>
      <c r="E674">
        <v>54</v>
      </c>
      <c r="F674">
        <v>53</v>
      </c>
      <c r="G674">
        <v>33</v>
      </c>
      <c r="H674" s="1">
        <v>1.8</v>
      </c>
      <c r="I674" s="2">
        <v>45674</v>
      </c>
      <c r="J674" t="s">
        <v>1793</v>
      </c>
      <c r="K674">
        <v>94</v>
      </c>
      <c r="L674" t="str">
        <f>IF(Table1[[#This Row],[Sales_Volume]]&gt;Table1[[#This Row],[Stock_Quantity]],"Pending","Fulfilled")</f>
        <v>Pending</v>
      </c>
      <c r="M674">
        <v>4</v>
      </c>
      <c r="N674">
        <v>82</v>
      </c>
      <c r="O674" t="str">
        <f>IF(Table1[[#This Row],[Stock_Quantity]]&lt;=Table1[[#This Row],[Reorder_Level]],"Reoeder required","Sufficient")</f>
        <v>Sufficient</v>
      </c>
      <c r="P674" t="str">
        <f>IF(Table1[[#This Row],[Stock_Quantity]]=0,"Out of stock","Available")</f>
        <v>Available</v>
      </c>
    </row>
    <row r="675" spans="1:16" x14ac:dyDescent="0.3">
      <c r="A675" t="s">
        <v>1794</v>
      </c>
      <c r="B675" t="s">
        <v>525</v>
      </c>
      <c r="C675" t="s">
        <v>13</v>
      </c>
      <c r="D675" t="s">
        <v>1372</v>
      </c>
      <c r="E675">
        <v>64</v>
      </c>
      <c r="F675">
        <v>10</v>
      </c>
      <c r="G675">
        <v>100</v>
      </c>
      <c r="H675" s="1">
        <v>2.5</v>
      </c>
      <c r="I675" s="2">
        <v>45448</v>
      </c>
      <c r="J675" t="s">
        <v>1795</v>
      </c>
      <c r="K675">
        <v>97</v>
      </c>
      <c r="L675" t="str">
        <f>IF(Table1[[#This Row],[Sales_Volume]]&gt;Table1[[#This Row],[Stock_Quantity]],"Pending","Fulfilled")</f>
        <v>Pending</v>
      </c>
      <c r="M675">
        <v>3</v>
      </c>
      <c r="N675">
        <v>52</v>
      </c>
      <c r="O675" t="str">
        <f>IF(Table1[[#This Row],[Stock_Quantity]]&lt;=Table1[[#This Row],[Reorder_Level]],"Reoeder required","Sufficient")</f>
        <v>Sufficient</v>
      </c>
      <c r="P675" t="str">
        <f>IF(Table1[[#This Row],[Stock_Quantity]]=0,"Out of stock","Available")</f>
        <v>Available</v>
      </c>
    </row>
    <row r="676" spans="1:16" x14ac:dyDescent="0.3">
      <c r="A676" t="s">
        <v>1796</v>
      </c>
      <c r="B676" t="s">
        <v>827</v>
      </c>
      <c r="C676" t="s">
        <v>45</v>
      </c>
      <c r="D676" t="s">
        <v>864</v>
      </c>
      <c r="E676">
        <v>12</v>
      </c>
      <c r="F676">
        <v>54</v>
      </c>
      <c r="G676">
        <v>48</v>
      </c>
      <c r="H676" s="1">
        <v>1</v>
      </c>
      <c r="I676" s="2">
        <v>45646</v>
      </c>
      <c r="J676" t="s">
        <v>1797</v>
      </c>
      <c r="K676">
        <v>31</v>
      </c>
      <c r="L676" t="str">
        <f>IF(Table1[[#This Row],[Sales_Volume]]&gt;Table1[[#This Row],[Stock_Quantity]],"Pending","Fulfilled")</f>
        <v>Pending</v>
      </c>
      <c r="M676">
        <v>3</v>
      </c>
      <c r="N676">
        <v>88</v>
      </c>
      <c r="O676" t="str">
        <f>IF(Table1[[#This Row],[Stock_Quantity]]&lt;=Table1[[#This Row],[Reorder_Level]],"Reoeder required","Sufficient")</f>
        <v>Reoeder required</v>
      </c>
      <c r="P676" t="str">
        <f>IF(Table1[[#This Row],[Stock_Quantity]]=0,"Out of stock","Available")</f>
        <v>Available</v>
      </c>
    </row>
    <row r="677" spans="1:16" x14ac:dyDescent="0.3">
      <c r="A677" t="s">
        <v>1798</v>
      </c>
      <c r="B677" t="s">
        <v>172</v>
      </c>
      <c r="C677" t="s">
        <v>31</v>
      </c>
      <c r="D677" t="s">
        <v>14</v>
      </c>
      <c r="E677">
        <v>61</v>
      </c>
      <c r="F677">
        <v>14</v>
      </c>
      <c r="G677">
        <v>49</v>
      </c>
      <c r="H677" s="1">
        <v>5.2</v>
      </c>
      <c r="I677" s="2">
        <v>45638</v>
      </c>
      <c r="J677" t="s">
        <v>1799</v>
      </c>
      <c r="K677">
        <v>74</v>
      </c>
      <c r="L677" t="str">
        <f>IF(Table1[[#This Row],[Sales_Volume]]&gt;Table1[[#This Row],[Stock_Quantity]],"Pending","Fulfilled")</f>
        <v>Pending</v>
      </c>
      <c r="M677">
        <v>5</v>
      </c>
      <c r="N677">
        <v>35</v>
      </c>
      <c r="O677" t="str">
        <f>IF(Table1[[#This Row],[Stock_Quantity]]&lt;=Table1[[#This Row],[Reorder_Level]],"Reoeder required","Sufficient")</f>
        <v>Sufficient</v>
      </c>
      <c r="P677" t="str">
        <f>IF(Table1[[#This Row],[Stock_Quantity]]=0,"Out of stock","Available")</f>
        <v>Available</v>
      </c>
    </row>
    <row r="678" spans="1:16" x14ac:dyDescent="0.3">
      <c r="A678" t="s">
        <v>1800</v>
      </c>
      <c r="B678" t="s">
        <v>127</v>
      </c>
      <c r="C678" t="s">
        <v>65</v>
      </c>
      <c r="D678" t="s">
        <v>463</v>
      </c>
      <c r="E678">
        <v>28</v>
      </c>
      <c r="F678">
        <v>62</v>
      </c>
      <c r="G678">
        <v>81</v>
      </c>
      <c r="H678" s="1">
        <v>5</v>
      </c>
      <c r="I678" s="2">
        <v>45468</v>
      </c>
      <c r="J678" t="s">
        <v>1801</v>
      </c>
      <c r="K678">
        <v>28</v>
      </c>
      <c r="L678" t="str">
        <f>IF(Table1[[#This Row],[Sales_Volume]]&gt;Table1[[#This Row],[Stock_Quantity]],"Pending","Fulfilled")</f>
        <v>Fulfilled</v>
      </c>
      <c r="M678">
        <v>4</v>
      </c>
      <c r="N678">
        <v>30</v>
      </c>
      <c r="O678" t="str">
        <f>IF(Table1[[#This Row],[Stock_Quantity]]&lt;=Table1[[#This Row],[Reorder_Level]],"Reoeder required","Sufficient")</f>
        <v>Reoeder required</v>
      </c>
      <c r="P678" t="str">
        <f>IF(Table1[[#This Row],[Stock_Quantity]]=0,"Out of stock","Available")</f>
        <v>Available</v>
      </c>
    </row>
    <row r="679" spans="1:16" x14ac:dyDescent="0.3">
      <c r="A679" t="s">
        <v>1802</v>
      </c>
      <c r="B679" t="s">
        <v>94</v>
      </c>
      <c r="C679" t="s">
        <v>31</v>
      </c>
      <c r="D679" t="s">
        <v>937</v>
      </c>
      <c r="E679">
        <v>23</v>
      </c>
      <c r="F679">
        <v>6</v>
      </c>
      <c r="G679">
        <v>40</v>
      </c>
      <c r="H679" s="1">
        <v>2.5</v>
      </c>
      <c r="I679" s="2">
        <v>45645</v>
      </c>
      <c r="J679" t="s">
        <v>1803</v>
      </c>
      <c r="K679">
        <v>95</v>
      </c>
      <c r="L679" t="str">
        <f>IF(Table1[[#This Row],[Sales_Volume]]&gt;Table1[[#This Row],[Stock_Quantity]],"Pending","Fulfilled")</f>
        <v>Pending</v>
      </c>
      <c r="M679">
        <v>6</v>
      </c>
      <c r="N679">
        <v>24</v>
      </c>
      <c r="O679" t="str">
        <f>IF(Table1[[#This Row],[Stock_Quantity]]&lt;=Table1[[#This Row],[Reorder_Level]],"Reoeder required","Sufficient")</f>
        <v>Sufficient</v>
      </c>
      <c r="P679" t="str">
        <f>IF(Table1[[#This Row],[Stock_Quantity]]=0,"Out of stock","Available")</f>
        <v>Available</v>
      </c>
    </row>
    <row r="680" spans="1:16" x14ac:dyDescent="0.3">
      <c r="A680" t="s">
        <v>1804</v>
      </c>
      <c r="B680" t="s">
        <v>338</v>
      </c>
      <c r="C680" t="s">
        <v>31</v>
      </c>
      <c r="D680" t="s">
        <v>161</v>
      </c>
      <c r="E680">
        <v>87</v>
      </c>
      <c r="F680">
        <v>51</v>
      </c>
      <c r="G680">
        <v>67</v>
      </c>
      <c r="H680" s="1">
        <v>10</v>
      </c>
      <c r="I680" s="2">
        <v>45448</v>
      </c>
      <c r="J680" t="s">
        <v>1805</v>
      </c>
      <c r="K680">
        <v>55</v>
      </c>
      <c r="L680" t="str">
        <f>IF(Table1[[#This Row],[Sales_Volume]]&gt;Table1[[#This Row],[Stock_Quantity]],"Pending","Fulfilled")</f>
        <v>Fulfilled</v>
      </c>
      <c r="M680">
        <v>7</v>
      </c>
      <c r="N680">
        <v>100</v>
      </c>
      <c r="O680" t="str">
        <f>IF(Table1[[#This Row],[Stock_Quantity]]&lt;=Table1[[#This Row],[Reorder_Level]],"Reoeder required","Sufficient")</f>
        <v>Sufficient</v>
      </c>
      <c r="P680" t="str">
        <f>IF(Table1[[#This Row],[Stock_Quantity]]=0,"Out of stock","Available")</f>
        <v>Available</v>
      </c>
    </row>
    <row r="681" spans="1:16" x14ac:dyDescent="0.3">
      <c r="A681" t="s">
        <v>1806</v>
      </c>
      <c r="B681" t="s">
        <v>591</v>
      </c>
      <c r="C681" t="s">
        <v>18</v>
      </c>
      <c r="D681" t="s">
        <v>1068</v>
      </c>
      <c r="E681">
        <v>59</v>
      </c>
      <c r="F681">
        <v>31</v>
      </c>
      <c r="G681">
        <v>3</v>
      </c>
      <c r="H681" s="1">
        <v>10</v>
      </c>
      <c r="I681" s="2">
        <v>45678</v>
      </c>
      <c r="J681" t="s">
        <v>1807</v>
      </c>
      <c r="K681">
        <v>48</v>
      </c>
      <c r="L681" t="str">
        <f>IF(Table1[[#This Row],[Sales_Volume]]&gt;Table1[[#This Row],[Stock_Quantity]],"Pending","Fulfilled")</f>
        <v>Fulfilled</v>
      </c>
      <c r="M681">
        <v>6</v>
      </c>
      <c r="N681">
        <v>51</v>
      </c>
      <c r="O681" t="str">
        <f>IF(Table1[[#This Row],[Stock_Quantity]]&lt;=Table1[[#This Row],[Reorder_Level]],"Reoeder required","Sufficient")</f>
        <v>Sufficient</v>
      </c>
      <c r="P681" t="str">
        <f>IF(Table1[[#This Row],[Stock_Quantity]]=0,"Out of stock","Available")</f>
        <v>Available</v>
      </c>
    </row>
    <row r="682" spans="1:16" x14ac:dyDescent="0.3">
      <c r="A682" t="s">
        <v>1808</v>
      </c>
      <c r="B682" t="s">
        <v>595</v>
      </c>
      <c r="C682" t="s">
        <v>31</v>
      </c>
      <c r="D682" t="s">
        <v>36</v>
      </c>
      <c r="E682">
        <v>13</v>
      </c>
      <c r="F682">
        <v>88</v>
      </c>
      <c r="G682">
        <v>11</v>
      </c>
      <c r="H682" s="1">
        <v>3</v>
      </c>
      <c r="I682" s="2">
        <v>45417</v>
      </c>
      <c r="J682" t="s">
        <v>1809</v>
      </c>
      <c r="K682">
        <v>100</v>
      </c>
      <c r="L682" t="str">
        <f>IF(Table1[[#This Row],[Sales_Volume]]&gt;Table1[[#This Row],[Stock_Quantity]],"Pending","Fulfilled")</f>
        <v>Pending</v>
      </c>
      <c r="M682">
        <v>4</v>
      </c>
      <c r="N682">
        <v>52</v>
      </c>
      <c r="O682" t="str">
        <f>IF(Table1[[#This Row],[Stock_Quantity]]&lt;=Table1[[#This Row],[Reorder_Level]],"Reoeder required","Sufficient")</f>
        <v>Reoeder required</v>
      </c>
      <c r="P682" t="str">
        <f>IF(Table1[[#This Row],[Stock_Quantity]]=0,"Out of stock","Available")</f>
        <v>Available</v>
      </c>
    </row>
    <row r="683" spans="1:16" x14ac:dyDescent="0.3">
      <c r="A683" t="s">
        <v>1810</v>
      </c>
      <c r="B683" t="s">
        <v>418</v>
      </c>
      <c r="C683" t="s">
        <v>31</v>
      </c>
      <c r="D683" t="s">
        <v>320</v>
      </c>
      <c r="E683">
        <v>81</v>
      </c>
      <c r="F683">
        <v>87</v>
      </c>
      <c r="G683">
        <v>15</v>
      </c>
      <c r="H683" s="1">
        <v>6</v>
      </c>
      <c r="I683" s="2">
        <v>45682</v>
      </c>
      <c r="J683" t="s">
        <v>1811</v>
      </c>
      <c r="K683">
        <v>94</v>
      </c>
      <c r="L683" t="str">
        <f>IF(Table1[[#This Row],[Sales_Volume]]&gt;Table1[[#This Row],[Stock_Quantity]],"Pending","Fulfilled")</f>
        <v>Pending</v>
      </c>
      <c r="M683">
        <v>6</v>
      </c>
      <c r="N683">
        <v>10</v>
      </c>
      <c r="O683" t="str">
        <f>IF(Table1[[#This Row],[Stock_Quantity]]&lt;=Table1[[#This Row],[Reorder_Level]],"Reoeder required","Sufficient")</f>
        <v>Reoeder required</v>
      </c>
      <c r="P683" t="str">
        <f>IF(Table1[[#This Row],[Stock_Quantity]]=0,"Out of stock","Available")</f>
        <v>Available</v>
      </c>
    </row>
    <row r="684" spans="1:16" x14ac:dyDescent="0.3">
      <c r="A684" t="s">
        <v>1812</v>
      </c>
      <c r="B684" t="s">
        <v>217</v>
      </c>
      <c r="C684" t="s">
        <v>65</v>
      </c>
      <c r="D684" t="s">
        <v>583</v>
      </c>
      <c r="E684">
        <v>61</v>
      </c>
      <c r="F684">
        <v>77</v>
      </c>
      <c r="G684">
        <v>45</v>
      </c>
      <c r="H684" s="1">
        <v>2.5</v>
      </c>
      <c r="I684" s="2">
        <v>45351</v>
      </c>
      <c r="J684" t="s">
        <v>1813</v>
      </c>
      <c r="K684">
        <v>51</v>
      </c>
      <c r="L684" t="str">
        <f>IF(Table1[[#This Row],[Sales_Volume]]&gt;Table1[[#This Row],[Stock_Quantity]],"Pending","Fulfilled")</f>
        <v>Fulfilled</v>
      </c>
      <c r="M684">
        <v>6</v>
      </c>
      <c r="N684">
        <v>48</v>
      </c>
      <c r="O684" t="str">
        <f>IF(Table1[[#This Row],[Stock_Quantity]]&lt;=Table1[[#This Row],[Reorder_Level]],"Reoeder required","Sufficient")</f>
        <v>Reoeder required</v>
      </c>
      <c r="P684" t="str">
        <f>IF(Table1[[#This Row],[Stock_Quantity]]=0,"Out of stock","Available")</f>
        <v>Available</v>
      </c>
    </row>
    <row r="685" spans="1:16" x14ac:dyDescent="0.3">
      <c r="A685" t="s">
        <v>1814</v>
      </c>
      <c r="B685" t="s">
        <v>239</v>
      </c>
      <c r="C685" t="s">
        <v>31</v>
      </c>
      <c r="D685" t="s">
        <v>1340</v>
      </c>
      <c r="E685">
        <v>80</v>
      </c>
      <c r="F685">
        <v>91</v>
      </c>
      <c r="G685">
        <v>36</v>
      </c>
      <c r="H685" s="1">
        <v>1.5</v>
      </c>
      <c r="I685" s="2">
        <v>45481</v>
      </c>
      <c r="J685" t="s">
        <v>1815</v>
      </c>
      <c r="K685">
        <v>81</v>
      </c>
      <c r="L685" t="str">
        <f>IF(Table1[[#This Row],[Sales_Volume]]&gt;Table1[[#This Row],[Stock_Quantity]],"Pending","Fulfilled")</f>
        <v>Pending</v>
      </c>
      <c r="M685">
        <v>4</v>
      </c>
      <c r="N685">
        <v>74</v>
      </c>
      <c r="O685" t="str">
        <f>IF(Table1[[#This Row],[Stock_Quantity]]&lt;=Table1[[#This Row],[Reorder_Level]],"Reoeder required","Sufficient")</f>
        <v>Reoeder required</v>
      </c>
      <c r="P685" t="str">
        <f>IF(Table1[[#This Row],[Stock_Quantity]]=0,"Out of stock","Available")</f>
        <v>Available</v>
      </c>
    </row>
    <row r="686" spans="1:16" x14ac:dyDescent="0.3">
      <c r="A686" t="s">
        <v>1816</v>
      </c>
      <c r="B686" t="s">
        <v>861</v>
      </c>
      <c r="C686" t="s">
        <v>13</v>
      </c>
      <c r="D686" t="s">
        <v>1564</v>
      </c>
      <c r="E686">
        <v>39</v>
      </c>
      <c r="F686">
        <v>57</v>
      </c>
      <c r="G686">
        <v>54</v>
      </c>
      <c r="H686" s="1">
        <v>2.5</v>
      </c>
      <c r="I686" s="2">
        <v>45357</v>
      </c>
      <c r="J686" t="s">
        <v>1817</v>
      </c>
      <c r="K686">
        <v>77</v>
      </c>
      <c r="L686" t="str">
        <f>IF(Table1[[#This Row],[Sales_Volume]]&gt;Table1[[#This Row],[Stock_Quantity]],"Pending","Fulfilled")</f>
        <v>Pending</v>
      </c>
      <c r="M686">
        <v>7</v>
      </c>
      <c r="N686">
        <v>32</v>
      </c>
      <c r="O686" t="str">
        <f>IF(Table1[[#This Row],[Stock_Quantity]]&lt;=Table1[[#This Row],[Reorder_Level]],"Reoeder required","Sufficient")</f>
        <v>Reoeder required</v>
      </c>
      <c r="P686" t="str">
        <f>IF(Table1[[#This Row],[Stock_Quantity]]=0,"Out of stock","Available")</f>
        <v>Available</v>
      </c>
    </row>
    <row r="687" spans="1:16" x14ac:dyDescent="0.3">
      <c r="A687" t="s">
        <v>1818</v>
      </c>
      <c r="B687" t="s">
        <v>107</v>
      </c>
      <c r="D687" t="s">
        <v>422</v>
      </c>
      <c r="E687">
        <v>69</v>
      </c>
      <c r="F687">
        <v>21</v>
      </c>
      <c r="G687">
        <v>68</v>
      </c>
      <c r="H687" s="1">
        <v>66.55</v>
      </c>
      <c r="I687" s="2">
        <v>45622</v>
      </c>
      <c r="J687" t="s">
        <v>1819</v>
      </c>
      <c r="K687">
        <v>36</v>
      </c>
      <c r="L687" t="str">
        <f>IF(Table1[[#This Row],[Sales_Volume]]&gt;Table1[[#This Row],[Stock_Quantity]],"Pending","Fulfilled")</f>
        <v>Fulfilled</v>
      </c>
      <c r="M687">
        <v>1</v>
      </c>
      <c r="N687">
        <v>35</v>
      </c>
      <c r="O687" t="str">
        <f>IF(Table1[[#This Row],[Stock_Quantity]]&lt;=Table1[[#This Row],[Reorder_Level]],"Reoeder required","Sufficient")</f>
        <v>Sufficient</v>
      </c>
      <c r="P687" t="str">
        <f>IF(Table1[[#This Row],[Stock_Quantity]]=0,"Out of stock","Available")</f>
        <v>Available</v>
      </c>
    </row>
    <row r="688" spans="1:16" x14ac:dyDescent="0.3">
      <c r="A688" t="s">
        <v>1820</v>
      </c>
      <c r="B688" t="s">
        <v>44</v>
      </c>
      <c r="C688" t="s">
        <v>45</v>
      </c>
      <c r="D688" t="s">
        <v>1821</v>
      </c>
      <c r="E688">
        <v>60</v>
      </c>
      <c r="F688">
        <v>43</v>
      </c>
      <c r="G688">
        <v>32</v>
      </c>
      <c r="H688" s="1">
        <v>2.5</v>
      </c>
      <c r="I688" s="2">
        <v>45569</v>
      </c>
      <c r="J688" t="s">
        <v>1822</v>
      </c>
      <c r="K688">
        <v>77</v>
      </c>
      <c r="L688" t="str">
        <f>IF(Table1[[#This Row],[Sales_Volume]]&gt;Table1[[#This Row],[Stock_Quantity]],"Pending","Fulfilled")</f>
        <v>Pending</v>
      </c>
      <c r="M688">
        <v>4</v>
      </c>
      <c r="N688">
        <v>60</v>
      </c>
      <c r="O688" t="str">
        <f>IF(Table1[[#This Row],[Stock_Quantity]]&lt;=Table1[[#This Row],[Reorder_Level]],"Reoeder required","Sufficient")</f>
        <v>Sufficient</v>
      </c>
      <c r="P688" t="str">
        <f>IF(Table1[[#This Row],[Stock_Quantity]]=0,"Out of stock","Available")</f>
        <v>Available</v>
      </c>
    </row>
    <row r="689" spans="1:16" x14ac:dyDescent="0.3">
      <c r="A689" t="s">
        <v>1823</v>
      </c>
      <c r="B689" t="s">
        <v>494</v>
      </c>
      <c r="C689" t="s">
        <v>45</v>
      </c>
      <c r="D689" t="s">
        <v>1824</v>
      </c>
      <c r="E689">
        <v>22</v>
      </c>
      <c r="F689">
        <v>43</v>
      </c>
      <c r="G689">
        <v>3</v>
      </c>
      <c r="H689" s="1">
        <v>4.0999999999999996</v>
      </c>
      <c r="I689" s="2">
        <v>45499</v>
      </c>
      <c r="J689" t="s">
        <v>1825</v>
      </c>
      <c r="K689">
        <v>45</v>
      </c>
      <c r="L689" t="str">
        <f>IF(Table1[[#This Row],[Sales_Volume]]&gt;Table1[[#This Row],[Stock_Quantity]],"Pending","Fulfilled")</f>
        <v>Pending</v>
      </c>
      <c r="M689">
        <v>2</v>
      </c>
      <c r="N689">
        <v>87</v>
      </c>
      <c r="O689" t="str">
        <f>IF(Table1[[#This Row],[Stock_Quantity]]&lt;=Table1[[#This Row],[Reorder_Level]],"Reoeder required","Sufficient")</f>
        <v>Reoeder required</v>
      </c>
      <c r="P689" t="str">
        <f>IF(Table1[[#This Row],[Stock_Quantity]]=0,"Out of stock","Available")</f>
        <v>Available</v>
      </c>
    </row>
    <row r="690" spans="1:16" x14ac:dyDescent="0.3">
      <c r="A690" t="s">
        <v>1826</v>
      </c>
      <c r="B690" t="s">
        <v>385</v>
      </c>
      <c r="C690" t="s">
        <v>13</v>
      </c>
      <c r="D690" t="s">
        <v>1827</v>
      </c>
      <c r="E690">
        <v>79</v>
      </c>
      <c r="F690">
        <v>47</v>
      </c>
      <c r="G690">
        <v>51</v>
      </c>
      <c r="H690" s="1">
        <v>9.5</v>
      </c>
      <c r="I690" s="2">
        <v>45704</v>
      </c>
      <c r="J690" t="s">
        <v>1828</v>
      </c>
      <c r="K690">
        <v>83</v>
      </c>
      <c r="L690" t="str">
        <f>IF(Table1[[#This Row],[Sales_Volume]]&gt;Table1[[#This Row],[Stock_Quantity]],"Pending","Fulfilled")</f>
        <v>Pending</v>
      </c>
      <c r="M690">
        <v>2</v>
      </c>
      <c r="N690">
        <v>69</v>
      </c>
      <c r="O690" t="str">
        <f>IF(Table1[[#This Row],[Stock_Quantity]]&lt;=Table1[[#This Row],[Reorder_Level]],"Reoeder required","Sufficient")</f>
        <v>Sufficient</v>
      </c>
      <c r="P690" t="str">
        <f>IF(Table1[[#This Row],[Stock_Quantity]]=0,"Out of stock","Available")</f>
        <v>Available</v>
      </c>
    </row>
    <row r="691" spans="1:16" x14ac:dyDescent="0.3">
      <c r="A691" t="s">
        <v>1829</v>
      </c>
      <c r="B691" t="s">
        <v>268</v>
      </c>
      <c r="C691" t="s">
        <v>31</v>
      </c>
      <c r="D691" t="s">
        <v>1491</v>
      </c>
      <c r="E691">
        <v>47</v>
      </c>
      <c r="F691">
        <v>63</v>
      </c>
      <c r="G691">
        <v>86</v>
      </c>
      <c r="H691" s="1">
        <v>4</v>
      </c>
      <c r="I691" s="2">
        <v>45701</v>
      </c>
      <c r="J691" t="s">
        <v>1830</v>
      </c>
      <c r="K691">
        <v>76</v>
      </c>
      <c r="L691" t="str">
        <f>IF(Table1[[#This Row],[Sales_Volume]]&gt;Table1[[#This Row],[Stock_Quantity]],"Pending","Fulfilled")</f>
        <v>Pending</v>
      </c>
      <c r="M691">
        <v>6</v>
      </c>
      <c r="N691">
        <v>29</v>
      </c>
      <c r="O691" t="str">
        <f>IF(Table1[[#This Row],[Stock_Quantity]]&lt;=Table1[[#This Row],[Reorder_Level]],"Reoeder required","Sufficient")</f>
        <v>Reoeder required</v>
      </c>
      <c r="P691" t="str">
        <f>IF(Table1[[#This Row],[Stock_Quantity]]=0,"Out of stock","Available")</f>
        <v>Available</v>
      </c>
    </row>
    <row r="692" spans="1:16" x14ac:dyDescent="0.3">
      <c r="A692" t="s">
        <v>1831</v>
      </c>
      <c r="B692" t="s">
        <v>359</v>
      </c>
      <c r="C692" t="s">
        <v>13</v>
      </c>
      <c r="D692" t="s">
        <v>1647</v>
      </c>
      <c r="E692">
        <v>20</v>
      </c>
      <c r="F692">
        <v>25</v>
      </c>
      <c r="G692">
        <v>73</v>
      </c>
      <c r="H692" s="1">
        <v>4.75</v>
      </c>
      <c r="I692" s="2">
        <v>45475</v>
      </c>
      <c r="J692" t="s">
        <v>1832</v>
      </c>
      <c r="K692">
        <v>78</v>
      </c>
      <c r="L692" t="str">
        <f>IF(Table1[[#This Row],[Sales_Volume]]&gt;Table1[[#This Row],[Stock_Quantity]],"Pending","Fulfilled")</f>
        <v>Pending</v>
      </c>
      <c r="M692">
        <v>2</v>
      </c>
      <c r="N692">
        <v>1</v>
      </c>
      <c r="O692" t="str">
        <f>IF(Table1[[#This Row],[Stock_Quantity]]&lt;=Table1[[#This Row],[Reorder_Level]],"Reoeder required","Sufficient")</f>
        <v>Reoeder required</v>
      </c>
      <c r="P692" t="str">
        <f>IF(Table1[[#This Row],[Stock_Quantity]]=0,"Out of stock","Available")</f>
        <v>Available</v>
      </c>
    </row>
    <row r="693" spans="1:16" x14ac:dyDescent="0.3">
      <c r="A693" t="s">
        <v>1833</v>
      </c>
      <c r="B693" t="s">
        <v>469</v>
      </c>
      <c r="C693" t="s">
        <v>45</v>
      </c>
      <c r="D693" t="s">
        <v>104</v>
      </c>
      <c r="E693">
        <v>41</v>
      </c>
      <c r="F693">
        <v>22</v>
      </c>
      <c r="G693">
        <v>11</v>
      </c>
      <c r="H693" s="1">
        <v>7</v>
      </c>
      <c r="I693" s="2">
        <v>45405</v>
      </c>
      <c r="J693" t="s">
        <v>1834</v>
      </c>
      <c r="K693">
        <v>86</v>
      </c>
      <c r="L693" t="str">
        <f>IF(Table1[[#This Row],[Sales_Volume]]&gt;Table1[[#This Row],[Stock_Quantity]],"Pending","Fulfilled")</f>
        <v>Pending</v>
      </c>
      <c r="M693">
        <v>4</v>
      </c>
      <c r="N693">
        <v>30</v>
      </c>
      <c r="O693" t="str">
        <f>IF(Table1[[#This Row],[Stock_Quantity]]&lt;=Table1[[#This Row],[Reorder_Level]],"Reoeder required","Sufficient")</f>
        <v>Sufficient</v>
      </c>
      <c r="P693" t="str">
        <f>IF(Table1[[#This Row],[Stock_Quantity]]=0,"Out of stock","Available")</f>
        <v>Available</v>
      </c>
    </row>
    <row r="694" spans="1:16" x14ac:dyDescent="0.3">
      <c r="A694" t="s">
        <v>1835</v>
      </c>
      <c r="B694" t="s">
        <v>390</v>
      </c>
      <c r="C694" t="s">
        <v>99</v>
      </c>
      <c r="D694" t="s">
        <v>1181</v>
      </c>
      <c r="E694">
        <v>46</v>
      </c>
      <c r="F694">
        <v>80</v>
      </c>
      <c r="G694">
        <v>88</v>
      </c>
      <c r="H694" s="1">
        <v>7</v>
      </c>
      <c r="I694" s="2">
        <v>45450</v>
      </c>
      <c r="J694" t="s">
        <v>1836</v>
      </c>
      <c r="K694">
        <v>62</v>
      </c>
      <c r="L694" t="str">
        <f>IF(Table1[[#This Row],[Sales_Volume]]&gt;Table1[[#This Row],[Stock_Quantity]],"Pending","Fulfilled")</f>
        <v>Pending</v>
      </c>
      <c r="M694">
        <v>5</v>
      </c>
      <c r="N694">
        <v>22</v>
      </c>
      <c r="O694" t="str">
        <f>IF(Table1[[#This Row],[Stock_Quantity]]&lt;=Table1[[#This Row],[Reorder_Level]],"Reoeder required","Sufficient")</f>
        <v>Reoeder required</v>
      </c>
      <c r="P694" t="str">
        <f>IF(Table1[[#This Row],[Stock_Quantity]]=0,"Out of stock","Available")</f>
        <v>Available</v>
      </c>
    </row>
    <row r="695" spans="1:16" x14ac:dyDescent="0.3">
      <c r="A695" t="s">
        <v>1837</v>
      </c>
      <c r="B695" t="s">
        <v>350</v>
      </c>
      <c r="C695" t="s">
        <v>40</v>
      </c>
      <c r="D695" t="s">
        <v>259</v>
      </c>
      <c r="E695">
        <v>67</v>
      </c>
      <c r="F695">
        <v>57</v>
      </c>
      <c r="G695">
        <v>36</v>
      </c>
      <c r="H695" s="1">
        <v>1.8</v>
      </c>
      <c r="I695" s="2">
        <v>45392</v>
      </c>
      <c r="J695" t="s">
        <v>1838</v>
      </c>
      <c r="K695">
        <v>78</v>
      </c>
      <c r="L695" t="str">
        <f>IF(Table1[[#This Row],[Sales_Volume]]&gt;Table1[[#This Row],[Stock_Quantity]],"Pending","Fulfilled")</f>
        <v>Pending</v>
      </c>
      <c r="M695">
        <v>4</v>
      </c>
      <c r="N695">
        <v>60</v>
      </c>
      <c r="O695" t="str">
        <f>IF(Table1[[#This Row],[Stock_Quantity]]&lt;=Table1[[#This Row],[Reorder_Level]],"Reoeder required","Sufficient")</f>
        <v>Sufficient</v>
      </c>
      <c r="P695" t="str">
        <f>IF(Table1[[#This Row],[Stock_Quantity]]=0,"Out of stock","Available")</f>
        <v>Available</v>
      </c>
    </row>
    <row r="696" spans="1:16" x14ac:dyDescent="0.3">
      <c r="A696" t="s">
        <v>1839</v>
      </c>
      <c r="B696" t="s">
        <v>296</v>
      </c>
      <c r="C696" t="s">
        <v>13</v>
      </c>
      <c r="D696" t="s">
        <v>1840</v>
      </c>
      <c r="E696">
        <v>51</v>
      </c>
      <c r="F696">
        <v>19</v>
      </c>
      <c r="G696">
        <v>96</v>
      </c>
      <c r="H696" s="1">
        <v>4.5</v>
      </c>
      <c r="I696" s="2">
        <v>45697</v>
      </c>
      <c r="J696" t="s">
        <v>1841</v>
      </c>
      <c r="K696">
        <v>73</v>
      </c>
      <c r="L696" t="str">
        <f>IF(Table1[[#This Row],[Sales_Volume]]&gt;Table1[[#This Row],[Stock_Quantity]],"Pending","Fulfilled")</f>
        <v>Pending</v>
      </c>
      <c r="M696">
        <v>7</v>
      </c>
      <c r="N696">
        <v>42</v>
      </c>
      <c r="O696" t="str">
        <f>IF(Table1[[#This Row],[Stock_Quantity]]&lt;=Table1[[#This Row],[Reorder_Level]],"Reoeder required","Sufficient")</f>
        <v>Sufficient</v>
      </c>
      <c r="P696" t="str">
        <f>IF(Table1[[#This Row],[Stock_Quantity]]=0,"Out of stock","Available")</f>
        <v>Available</v>
      </c>
    </row>
    <row r="697" spans="1:16" x14ac:dyDescent="0.3">
      <c r="A697" t="s">
        <v>1842</v>
      </c>
      <c r="B697" t="s">
        <v>60</v>
      </c>
      <c r="C697" t="s">
        <v>13</v>
      </c>
      <c r="D697" t="s">
        <v>599</v>
      </c>
      <c r="E697">
        <v>42</v>
      </c>
      <c r="F697">
        <v>12</v>
      </c>
      <c r="G697">
        <v>28</v>
      </c>
      <c r="H697" s="1">
        <v>2</v>
      </c>
      <c r="I697" s="2">
        <v>45383</v>
      </c>
      <c r="J697" t="s">
        <v>1843</v>
      </c>
      <c r="K697">
        <v>80</v>
      </c>
      <c r="L697" t="str">
        <f>IF(Table1[[#This Row],[Sales_Volume]]&gt;Table1[[#This Row],[Stock_Quantity]],"Pending","Fulfilled")</f>
        <v>Pending</v>
      </c>
      <c r="M697">
        <v>5</v>
      </c>
      <c r="N697">
        <v>8</v>
      </c>
      <c r="O697" t="str">
        <f>IF(Table1[[#This Row],[Stock_Quantity]]&lt;=Table1[[#This Row],[Reorder_Level]],"Reoeder required","Sufficient")</f>
        <v>Sufficient</v>
      </c>
      <c r="P697" t="str">
        <f>IF(Table1[[#This Row],[Stock_Quantity]]=0,"Out of stock","Available")</f>
        <v>Available</v>
      </c>
    </row>
    <row r="698" spans="1:16" x14ac:dyDescent="0.3">
      <c r="A698" t="s">
        <v>1844</v>
      </c>
      <c r="B698" t="s">
        <v>563</v>
      </c>
      <c r="C698" t="s">
        <v>40</v>
      </c>
      <c r="D698" t="s">
        <v>1845</v>
      </c>
      <c r="E698">
        <v>85</v>
      </c>
      <c r="F698">
        <v>86</v>
      </c>
      <c r="G698">
        <v>21</v>
      </c>
      <c r="H698" s="1">
        <v>6.5</v>
      </c>
      <c r="I698" s="2">
        <v>45497</v>
      </c>
      <c r="J698" t="s">
        <v>1846</v>
      </c>
      <c r="K698">
        <v>78</v>
      </c>
      <c r="L698" t="str">
        <f>IF(Table1[[#This Row],[Sales_Volume]]&gt;Table1[[#This Row],[Stock_Quantity]],"Pending","Fulfilled")</f>
        <v>Fulfilled</v>
      </c>
      <c r="M698">
        <v>8</v>
      </c>
      <c r="N698">
        <v>53</v>
      </c>
      <c r="O698" t="str">
        <f>IF(Table1[[#This Row],[Stock_Quantity]]&lt;=Table1[[#This Row],[Reorder_Level]],"Reoeder required","Sufficient")</f>
        <v>Reoeder required</v>
      </c>
      <c r="P698" t="str">
        <f>IF(Table1[[#This Row],[Stock_Quantity]]=0,"Out of stock","Available")</f>
        <v>Available</v>
      </c>
    </row>
    <row r="699" spans="1:16" x14ac:dyDescent="0.3">
      <c r="A699" t="s">
        <v>1847</v>
      </c>
      <c r="B699" t="s">
        <v>657</v>
      </c>
      <c r="C699" t="s">
        <v>40</v>
      </c>
      <c r="D699" t="s">
        <v>577</v>
      </c>
      <c r="E699">
        <v>23</v>
      </c>
      <c r="F699">
        <v>43</v>
      </c>
      <c r="G699">
        <v>75</v>
      </c>
      <c r="H699" s="1">
        <v>2.5</v>
      </c>
      <c r="I699" s="2">
        <v>45596</v>
      </c>
      <c r="J699" t="s">
        <v>1848</v>
      </c>
      <c r="K699">
        <v>91</v>
      </c>
      <c r="L699" t="str">
        <f>IF(Table1[[#This Row],[Sales_Volume]]&gt;Table1[[#This Row],[Stock_Quantity]],"Pending","Fulfilled")</f>
        <v>Pending</v>
      </c>
      <c r="M699">
        <v>2</v>
      </c>
      <c r="N699">
        <v>86</v>
      </c>
      <c r="O699" t="str">
        <f>IF(Table1[[#This Row],[Stock_Quantity]]&lt;=Table1[[#This Row],[Reorder_Level]],"Reoeder required","Sufficient")</f>
        <v>Reoeder required</v>
      </c>
      <c r="P699" t="str">
        <f>IF(Table1[[#This Row],[Stock_Quantity]]=0,"Out of stock","Available")</f>
        <v>Available</v>
      </c>
    </row>
    <row r="700" spans="1:16" x14ac:dyDescent="0.3">
      <c r="A700" t="s">
        <v>1849</v>
      </c>
      <c r="B700" t="s">
        <v>283</v>
      </c>
      <c r="C700" t="s">
        <v>31</v>
      </c>
      <c r="D700" t="s">
        <v>1305</v>
      </c>
      <c r="E700">
        <v>84</v>
      </c>
      <c r="F700">
        <v>26</v>
      </c>
      <c r="G700">
        <v>37</v>
      </c>
      <c r="H700" s="1">
        <v>4.5</v>
      </c>
      <c r="I700" s="2">
        <v>45349</v>
      </c>
      <c r="J700" t="s">
        <v>1850</v>
      </c>
      <c r="K700">
        <v>46</v>
      </c>
      <c r="L700" t="str">
        <f>IF(Table1[[#This Row],[Sales_Volume]]&gt;Table1[[#This Row],[Stock_Quantity]],"Pending","Fulfilled")</f>
        <v>Fulfilled</v>
      </c>
      <c r="M700">
        <v>3</v>
      </c>
      <c r="N700">
        <v>67</v>
      </c>
      <c r="O700" t="str">
        <f>IF(Table1[[#This Row],[Stock_Quantity]]&lt;=Table1[[#This Row],[Reorder_Level]],"Reoeder required","Sufficient")</f>
        <v>Sufficient</v>
      </c>
      <c r="P700" t="str">
        <f>IF(Table1[[#This Row],[Stock_Quantity]]=0,"Out of stock","Available")</f>
        <v>Available</v>
      </c>
    </row>
    <row r="701" spans="1:16" x14ac:dyDescent="0.3">
      <c r="A701" t="s">
        <v>1851</v>
      </c>
      <c r="B701" t="s">
        <v>49</v>
      </c>
      <c r="C701" t="s">
        <v>31</v>
      </c>
      <c r="D701" t="s">
        <v>1852</v>
      </c>
      <c r="E701">
        <v>28</v>
      </c>
      <c r="F701">
        <v>38</v>
      </c>
      <c r="G701">
        <v>23</v>
      </c>
      <c r="H701" s="1">
        <v>42.58</v>
      </c>
      <c r="I701" s="2">
        <v>45641</v>
      </c>
      <c r="J701" t="s">
        <v>1853</v>
      </c>
      <c r="K701">
        <v>48</v>
      </c>
      <c r="L701" t="str">
        <f>IF(Table1[[#This Row],[Sales_Volume]]&gt;Table1[[#This Row],[Stock_Quantity]],"Pending","Fulfilled")</f>
        <v>Pending</v>
      </c>
      <c r="M701">
        <v>8</v>
      </c>
      <c r="N701">
        <v>56</v>
      </c>
      <c r="O701" t="str">
        <f>IF(Table1[[#This Row],[Stock_Quantity]]&lt;=Table1[[#This Row],[Reorder_Level]],"Reoeder required","Sufficient")</f>
        <v>Reoeder required</v>
      </c>
      <c r="P701" t="str">
        <f>IF(Table1[[#This Row],[Stock_Quantity]]=0,"Out of stock","Available")</f>
        <v>Available</v>
      </c>
    </row>
    <row r="702" spans="1:16" x14ac:dyDescent="0.3">
      <c r="A702" t="s">
        <v>1854</v>
      </c>
      <c r="B702" t="s">
        <v>217</v>
      </c>
      <c r="C702" t="s">
        <v>65</v>
      </c>
      <c r="D702" t="s">
        <v>961</v>
      </c>
      <c r="E702">
        <v>62</v>
      </c>
      <c r="F702">
        <v>49</v>
      </c>
      <c r="G702">
        <v>38</v>
      </c>
      <c r="H702" s="1">
        <v>2.5</v>
      </c>
      <c r="I702" s="2">
        <v>45441</v>
      </c>
      <c r="J702" t="s">
        <v>1855</v>
      </c>
      <c r="K702">
        <v>42</v>
      </c>
      <c r="L702" t="str">
        <f>IF(Table1[[#This Row],[Sales_Volume]]&gt;Table1[[#This Row],[Stock_Quantity]],"Pending","Fulfilled")</f>
        <v>Fulfilled</v>
      </c>
      <c r="M702">
        <v>4</v>
      </c>
      <c r="N702">
        <v>44</v>
      </c>
      <c r="O702" t="str">
        <f>IF(Table1[[#This Row],[Stock_Quantity]]&lt;=Table1[[#This Row],[Reorder_Level]],"Reoeder required","Sufficient")</f>
        <v>Sufficient</v>
      </c>
      <c r="P702" t="str">
        <f>IF(Table1[[#This Row],[Stock_Quantity]]=0,"Out of stock","Available")</f>
        <v>Available</v>
      </c>
    </row>
    <row r="703" spans="1:16" x14ac:dyDescent="0.3">
      <c r="A703" t="s">
        <v>1856</v>
      </c>
      <c r="B703" t="s">
        <v>44</v>
      </c>
      <c r="C703" t="s">
        <v>45</v>
      </c>
      <c r="D703" t="s">
        <v>918</v>
      </c>
      <c r="E703">
        <v>65</v>
      </c>
      <c r="F703">
        <v>94</v>
      </c>
      <c r="G703">
        <v>4</v>
      </c>
      <c r="H703" s="1">
        <v>2.5</v>
      </c>
      <c r="I703" s="2">
        <v>45687</v>
      </c>
      <c r="J703" t="s">
        <v>1857</v>
      </c>
      <c r="K703">
        <v>66</v>
      </c>
      <c r="L703" t="str">
        <f>IF(Table1[[#This Row],[Sales_Volume]]&gt;Table1[[#This Row],[Stock_Quantity]],"Pending","Fulfilled")</f>
        <v>Pending</v>
      </c>
      <c r="M703">
        <v>8</v>
      </c>
      <c r="N703">
        <v>36</v>
      </c>
      <c r="O703" t="str">
        <f>IF(Table1[[#This Row],[Stock_Quantity]]&lt;=Table1[[#This Row],[Reorder_Level]],"Reoeder required","Sufficient")</f>
        <v>Reoeder required</v>
      </c>
      <c r="P703" t="str">
        <f>IF(Table1[[#This Row],[Stock_Quantity]]=0,"Out of stock","Available")</f>
        <v>Available</v>
      </c>
    </row>
    <row r="704" spans="1:16" x14ac:dyDescent="0.3">
      <c r="A704" t="s">
        <v>1858</v>
      </c>
      <c r="B704" t="s">
        <v>669</v>
      </c>
      <c r="C704" t="s">
        <v>31</v>
      </c>
      <c r="D704" t="s">
        <v>1859</v>
      </c>
      <c r="E704">
        <v>18</v>
      </c>
      <c r="F704">
        <v>8</v>
      </c>
      <c r="G704">
        <v>68</v>
      </c>
      <c r="H704" s="1">
        <v>2</v>
      </c>
      <c r="I704" s="2">
        <v>45568</v>
      </c>
      <c r="J704" t="s">
        <v>1860</v>
      </c>
      <c r="K704">
        <v>54</v>
      </c>
      <c r="L704" t="str">
        <f>IF(Table1[[#This Row],[Sales_Volume]]&gt;Table1[[#This Row],[Stock_Quantity]],"Pending","Fulfilled")</f>
        <v>Pending</v>
      </c>
      <c r="M704">
        <v>3</v>
      </c>
      <c r="N704">
        <v>45</v>
      </c>
      <c r="O704" t="str">
        <f>IF(Table1[[#This Row],[Stock_Quantity]]&lt;=Table1[[#This Row],[Reorder_Level]],"Reoeder required","Sufficient")</f>
        <v>Sufficient</v>
      </c>
      <c r="P704" t="str">
        <f>IF(Table1[[#This Row],[Stock_Quantity]]=0,"Out of stock","Available")</f>
        <v>Available</v>
      </c>
    </row>
    <row r="705" spans="1:16" x14ac:dyDescent="0.3">
      <c r="A705" t="s">
        <v>1861</v>
      </c>
      <c r="B705" t="s">
        <v>1662</v>
      </c>
      <c r="C705" t="s">
        <v>45</v>
      </c>
      <c r="D705" t="s">
        <v>1862</v>
      </c>
      <c r="E705">
        <v>70</v>
      </c>
      <c r="F705">
        <v>29</v>
      </c>
      <c r="G705">
        <v>24</v>
      </c>
      <c r="H705" s="1">
        <v>0.2</v>
      </c>
      <c r="I705" s="2">
        <v>45591</v>
      </c>
      <c r="J705" t="s">
        <v>1863</v>
      </c>
      <c r="K705">
        <v>62</v>
      </c>
      <c r="L705" t="str">
        <f>IF(Table1[[#This Row],[Sales_Volume]]&gt;Table1[[#This Row],[Stock_Quantity]],"Pending","Fulfilled")</f>
        <v>Fulfilled</v>
      </c>
      <c r="M705">
        <v>1</v>
      </c>
      <c r="N705">
        <v>55</v>
      </c>
      <c r="O705" t="str">
        <f>IF(Table1[[#This Row],[Stock_Quantity]]&lt;=Table1[[#This Row],[Reorder_Level]],"Reoeder required","Sufficient")</f>
        <v>Sufficient</v>
      </c>
      <c r="P705" t="str">
        <f>IF(Table1[[#This Row],[Stock_Quantity]]=0,"Out of stock","Available")</f>
        <v>Available</v>
      </c>
    </row>
    <row r="706" spans="1:16" x14ac:dyDescent="0.3">
      <c r="A706" t="s">
        <v>1864</v>
      </c>
      <c r="B706" t="s">
        <v>542</v>
      </c>
      <c r="C706" t="s">
        <v>40</v>
      </c>
      <c r="D706" t="s">
        <v>763</v>
      </c>
      <c r="E706">
        <v>23</v>
      </c>
      <c r="F706">
        <v>71</v>
      </c>
      <c r="G706">
        <v>32</v>
      </c>
      <c r="H706" s="1">
        <v>2</v>
      </c>
      <c r="I706" s="2">
        <v>45673</v>
      </c>
      <c r="J706" t="s">
        <v>1865</v>
      </c>
      <c r="K706">
        <v>63</v>
      </c>
      <c r="L706" t="str">
        <f>IF(Table1[[#This Row],[Sales_Volume]]&gt;Table1[[#This Row],[Stock_Quantity]],"Pending","Fulfilled")</f>
        <v>Pending</v>
      </c>
      <c r="M706">
        <v>6</v>
      </c>
      <c r="N706">
        <v>23</v>
      </c>
      <c r="O706" t="str">
        <f>IF(Table1[[#This Row],[Stock_Quantity]]&lt;=Table1[[#This Row],[Reorder_Level]],"Reoeder required","Sufficient")</f>
        <v>Reoeder required</v>
      </c>
      <c r="P706" t="str">
        <f>IF(Table1[[#This Row],[Stock_Quantity]]=0,"Out of stock","Available")</f>
        <v>Available</v>
      </c>
    </row>
    <row r="707" spans="1:16" x14ac:dyDescent="0.3">
      <c r="A707" t="s">
        <v>1866</v>
      </c>
      <c r="B707" t="s">
        <v>359</v>
      </c>
      <c r="C707" t="s">
        <v>13</v>
      </c>
      <c r="D707" t="s">
        <v>772</v>
      </c>
      <c r="E707">
        <v>26</v>
      </c>
      <c r="F707">
        <v>83</v>
      </c>
      <c r="G707">
        <v>24</v>
      </c>
      <c r="H707" s="1">
        <v>4.75</v>
      </c>
      <c r="I707" s="2">
        <v>45594</v>
      </c>
      <c r="J707" t="s">
        <v>1867</v>
      </c>
      <c r="K707">
        <v>75</v>
      </c>
      <c r="L707" t="str">
        <f>IF(Table1[[#This Row],[Sales_Volume]]&gt;Table1[[#This Row],[Stock_Quantity]],"Pending","Fulfilled")</f>
        <v>Pending</v>
      </c>
      <c r="M707">
        <v>5</v>
      </c>
      <c r="N707">
        <v>12</v>
      </c>
      <c r="O707" t="str">
        <f>IF(Table1[[#This Row],[Stock_Quantity]]&lt;=Table1[[#This Row],[Reorder_Level]],"Reoeder required","Sufficient")</f>
        <v>Reoeder required</v>
      </c>
      <c r="P707" t="str">
        <f>IF(Table1[[#This Row],[Stock_Quantity]]=0,"Out of stock","Available")</f>
        <v>Available</v>
      </c>
    </row>
    <row r="708" spans="1:16" x14ac:dyDescent="0.3">
      <c r="A708" t="s">
        <v>1868</v>
      </c>
      <c r="B708" t="s">
        <v>591</v>
      </c>
      <c r="C708" t="s">
        <v>18</v>
      </c>
      <c r="D708" t="s">
        <v>1404</v>
      </c>
      <c r="E708">
        <v>20</v>
      </c>
      <c r="F708">
        <v>42</v>
      </c>
      <c r="G708">
        <v>45</v>
      </c>
      <c r="H708" s="1">
        <v>10</v>
      </c>
      <c r="I708" s="2">
        <v>45468</v>
      </c>
      <c r="J708" t="s">
        <v>1869</v>
      </c>
      <c r="K708">
        <v>72</v>
      </c>
      <c r="L708" t="str">
        <f>IF(Table1[[#This Row],[Sales_Volume]]&gt;Table1[[#This Row],[Stock_Quantity]],"Pending","Fulfilled")</f>
        <v>Pending</v>
      </c>
      <c r="M708">
        <v>4</v>
      </c>
      <c r="N708">
        <v>28</v>
      </c>
      <c r="O708" t="str">
        <f>IF(Table1[[#This Row],[Stock_Quantity]]&lt;=Table1[[#This Row],[Reorder_Level]],"Reoeder required","Sufficient")</f>
        <v>Reoeder required</v>
      </c>
      <c r="P708" t="str">
        <f>IF(Table1[[#This Row],[Stock_Quantity]]=0,"Out of stock","Available")</f>
        <v>Available</v>
      </c>
    </row>
    <row r="709" spans="1:16" x14ac:dyDescent="0.3">
      <c r="A709" t="s">
        <v>1870</v>
      </c>
      <c r="B709" t="s">
        <v>264</v>
      </c>
      <c r="C709" t="s">
        <v>45</v>
      </c>
      <c r="D709" t="s">
        <v>1871</v>
      </c>
      <c r="E709">
        <v>55</v>
      </c>
      <c r="F709">
        <v>58</v>
      </c>
      <c r="G709">
        <v>6</v>
      </c>
      <c r="H709" s="1">
        <v>7.2</v>
      </c>
      <c r="I709" s="2">
        <v>45485</v>
      </c>
      <c r="J709" t="s">
        <v>1872</v>
      </c>
      <c r="K709">
        <v>48</v>
      </c>
      <c r="L709" t="str">
        <f>IF(Table1[[#This Row],[Sales_Volume]]&gt;Table1[[#This Row],[Stock_Quantity]],"Pending","Fulfilled")</f>
        <v>Fulfilled</v>
      </c>
      <c r="M709">
        <v>7</v>
      </c>
      <c r="N709">
        <v>17</v>
      </c>
      <c r="O709" t="str">
        <f>IF(Table1[[#This Row],[Stock_Quantity]]&lt;=Table1[[#This Row],[Reorder_Level]],"Reoeder required","Sufficient")</f>
        <v>Reoeder required</v>
      </c>
      <c r="P709" t="str">
        <f>IF(Table1[[#This Row],[Stock_Quantity]]=0,"Out of stock","Available")</f>
        <v>Available</v>
      </c>
    </row>
    <row r="710" spans="1:16" x14ac:dyDescent="0.3">
      <c r="A710" t="s">
        <v>1873</v>
      </c>
      <c r="B710" t="s">
        <v>588</v>
      </c>
      <c r="C710" t="s">
        <v>13</v>
      </c>
      <c r="D710" t="s">
        <v>1874</v>
      </c>
      <c r="E710">
        <v>82</v>
      </c>
      <c r="F710">
        <v>67</v>
      </c>
      <c r="G710">
        <v>67</v>
      </c>
      <c r="H710" s="1">
        <v>2.75</v>
      </c>
      <c r="I710" s="2">
        <v>45480</v>
      </c>
      <c r="J710" t="s">
        <v>1875</v>
      </c>
      <c r="K710">
        <v>26</v>
      </c>
      <c r="L710" t="str">
        <f>IF(Table1[[#This Row],[Sales_Volume]]&gt;Table1[[#This Row],[Stock_Quantity]],"Pending","Fulfilled")</f>
        <v>Fulfilled</v>
      </c>
      <c r="M710">
        <v>2</v>
      </c>
      <c r="N710">
        <v>1</v>
      </c>
      <c r="O710" t="str">
        <f>IF(Table1[[#This Row],[Stock_Quantity]]&lt;=Table1[[#This Row],[Reorder_Level]],"Reoeder required","Sufficient")</f>
        <v>Sufficient</v>
      </c>
      <c r="P710" t="str">
        <f>IF(Table1[[#This Row],[Stock_Quantity]]=0,"Out of stock","Available")</f>
        <v>Available</v>
      </c>
    </row>
    <row r="711" spans="1:16" x14ac:dyDescent="0.3">
      <c r="A711" t="s">
        <v>1876</v>
      </c>
      <c r="B711" t="s">
        <v>1101</v>
      </c>
      <c r="C711" t="s">
        <v>99</v>
      </c>
      <c r="D711" t="s">
        <v>1877</v>
      </c>
      <c r="E711">
        <v>73</v>
      </c>
      <c r="F711">
        <v>12</v>
      </c>
      <c r="G711">
        <v>28</v>
      </c>
      <c r="H711" s="1">
        <v>15</v>
      </c>
      <c r="I711" s="2">
        <v>45451</v>
      </c>
      <c r="J711" t="s">
        <v>1878</v>
      </c>
      <c r="K711">
        <v>89</v>
      </c>
      <c r="L711" t="str">
        <f>IF(Table1[[#This Row],[Sales_Volume]]&gt;Table1[[#This Row],[Stock_Quantity]],"Pending","Fulfilled")</f>
        <v>Pending</v>
      </c>
      <c r="M711">
        <v>4</v>
      </c>
      <c r="N711">
        <v>92</v>
      </c>
      <c r="O711" t="str">
        <f>IF(Table1[[#This Row],[Stock_Quantity]]&lt;=Table1[[#This Row],[Reorder_Level]],"Reoeder required","Sufficient")</f>
        <v>Sufficient</v>
      </c>
      <c r="P711" t="str">
        <f>IF(Table1[[#This Row],[Stock_Quantity]]=0,"Out of stock","Available")</f>
        <v>Available</v>
      </c>
    </row>
    <row r="712" spans="1:16" x14ac:dyDescent="0.3">
      <c r="A712" t="s">
        <v>1879</v>
      </c>
      <c r="B712" t="s">
        <v>258</v>
      </c>
      <c r="C712" t="s">
        <v>18</v>
      </c>
      <c r="D712" t="s">
        <v>1880</v>
      </c>
      <c r="E712">
        <v>81</v>
      </c>
      <c r="F712">
        <v>83</v>
      </c>
      <c r="G712">
        <v>36</v>
      </c>
      <c r="H712" s="1">
        <v>25</v>
      </c>
      <c r="I712" s="2">
        <v>45664</v>
      </c>
      <c r="J712" t="s">
        <v>1881</v>
      </c>
      <c r="K712">
        <v>74</v>
      </c>
      <c r="L712" t="str">
        <f>IF(Table1[[#This Row],[Sales_Volume]]&gt;Table1[[#This Row],[Stock_Quantity]],"Pending","Fulfilled")</f>
        <v>Fulfilled</v>
      </c>
      <c r="M712">
        <v>5</v>
      </c>
      <c r="N712">
        <v>86</v>
      </c>
      <c r="O712" t="str">
        <f>IF(Table1[[#This Row],[Stock_Quantity]]&lt;=Table1[[#This Row],[Reorder_Level]],"Reoeder required","Sufficient")</f>
        <v>Reoeder required</v>
      </c>
      <c r="P712" t="str">
        <f>IF(Table1[[#This Row],[Stock_Quantity]]=0,"Out of stock","Available")</f>
        <v>Available</v>
      </c>
    </row>
    <row r="713" spans="1:16" x14ac:dyDescent="0.3">
      <c r="A713" t="s">
        <v>1882</v>
      </c>
      <c r="B713" t="s">
        <v>154</v>
      </c>
      <c r="C713" t="s">
        <v>31</v>
      </c>
      <c r="D713" t="s">
        <v>692</v>
      </c>
      <c r="E713">
        <v>20</v>
      </c>
      <c r="F713">
        <v>65</v>
      </c>
      <c r="G713">
        <v>61</v>
      </c>
      <c r="H713" s="1">
        <v>2</v>
      </c>
      <c r="I713" s="2">
        <v>45483</v>
      </c>
      <c r="J713" t="s">
        <v>1883</v>
      </c>
      <c r="K713">
        <v>51</v>
      </c>
      <c r="L713" t="str">
        <f>IF(Table1[[#This Row],[Sales_Volume]]&gt;Table1[[#This Row],[Stock_Quantity]],"Pending","Fulfilled")</f>
        <v>Pending</v>
      </c>
      <c r="M713">
        <v>2</v>
      </c>
      <c r="N713">
        <v>78</v>
      </c>
      <c r="O713" t="str">
        <f>IF(Table1[[#This Row],[Stock_Quantity]]&lt;=Table1[[#This Row],[Reorder_Level]],"Reoeder required","Sufficient")</f>
        <v>Reoeder required</v>
      </c>
      <c r="P713" t="str">
        <f>IF(Table1[[#This Row],[Stock_Quantity]]=0,"Out of stock","Available")</f>
        <v>Available</v>
      </c>
    </row>
    <row r="714" spans="1:16" x14ac:dyDescent="0.3">
      <c r="A714" t="s">
        <v>1884</v>
      </c>
      <c r="B714" t="s">
        <v>180</v>
      </c>
      <c r="C714" t="s">
        <v>18</v>
      </c>
      <c r="D714" t="s">
        <v>1212</v>
      </c>
      <c r="E714">
        <v>78</v>
      </c>
      <c r="F714">
        <v>38</v>
      </c>
      <c r="G714">
        <v>27</v>
      </c>
      <c r="H714" s="1">
        <v>15</v>
      </c>
      <c r="I714" s="2">
        <v>45482</v>
      </c>
      <c r="J714" t="s">
        <v>1885</v>
      </c>
      <c r="K714">
        <v>54</v>
      </c>
      <c r="L714" t="str">
        <f>IF(Table1[[#This Row],[Sales_Volume]]&gt;Table1[[#This Row],[Stock_Quantity]],"Pending","Fulfilled")</f>
        <v>Fulfilled</v>
      </c>
      <c r="M714">
        <v>6</v>
      </c>
      <c r="N714">
        <v>42</v>
      </c>
      <c r="O714" t="str">
        <f>IF(Table1[[#This Row],[Stock_Quantity]]&lt;=Table1[[#This Row],[Reorder_Level]],"Reoeder required","Sufficient")</f>
        <v>Sufficient</v>
      </c>
      <c r="P714" t="str">
        <f>IF(Table1[[#This Row],[Stock_Quantity]]=0,"Out of stock","Available")</f>
        <v>Available</v>
      </c>
    </row>
    <row r="715" spans="1:16" x14ac:dyDescent="0.3">
      <c r="A715" t="s">
        <v>1886</v>
      </c>
      <c r="B715" t="s">
        <v>305</v>
      </c>
      <c r="C715" t="s">
        <v>65</v>
      </c>
      <c r="D715" t="s">
        <v>1887</v>
      </c>
      <c r="E715">
        <v>84</v>
      </c>
      <c r="F715">
        <v>58</v>
      </c>
      <c r="G715">
        <v>28</v>
      </c>
      <c r="H715" s="1">
        <v>6</v>
      </c>
      <c r="I715" s="2">
        <v>45692</v>
      </c>
      <c r="J715" t="s">
        <v>1888</v>
      </c>
      <c r="K715">
        <v>51</v>
      </c>
      <c r="L715" t="str">
        <f>IF(Table1[[#This Row],[Sales_Volume]]&gt;Table1[[#This Row],[Stock_Quantity]],"Pending","Fulfilled")</f>
        <v>Fulfilled</v>
      </c>
      <c r="M715">
        <v>2</v>
      </c>
      <c r="N715">
        <v>12</v>
      </c>
      <c r="O715" t="str">
        <f>IF(Table1[[#This Row],[Stock_Quantity]]&lt;=Table1[[#This Row],[Reorder_Level]],"Reoeder required","Sufficient")</f>
        <v>Sufficient</v>
      </c>
      <c r="P715" t="str">
        <f>IF(Table1[[#This Row],[Stock_Quantity]]=0,"Out of stock","Available")</f>
        <v>Available</v>
      </c>
    </row>
    <row r="716" spans="1:16" x14ac:dyDescent="0.3">
      <c r="A716" t="s">
        <v>1889</v>
      </c>
      <c r="B716" t="s">
        <v>39</v>
      </c>
      <c r="C716" t="s">
        <v>40</v>
      </c>
      <c r="D716" t="s">
        <v>131</v>
      </c>
      <c r="E716">
        <v>32</v>
      </c>
      <c r="F716">
        <v>38</v>
      </c>
      <c r="G716">
        <v>23</v>
      </c>
      <c r="H716" s="1">
        <v>2.5</v>
      </c>
      <c r="I716" s="2">
        <v>45441</v>
      </c>
      <c r="J716" t="s">
        <v>1890</v>
      </c>
      <c r="K716">
        <v>52</v>
      </c>
      <c r="L716" t="str">
        <f>IF(Table1[[#This Row],[Sales_Volume]]&gt;Table1[[#This Row],[Stock_Quantity]],"Pending","Fulfilled")</f>
        <v>Pending</v>
      </c>
      <c r="M716">
        <v>7</v>
      </c>
      <c r="N716">
        <v>11</v>
      </c>
      <c r="O716" t="str">
        <f>IF(Table1[[#This Row],[Stock_Quantity]]&lt;=Table1[[#This Row],[Reorder_Level]],"Reoeder required","Sufficient")</f>
        <v>Reoeder required</v>
      </c>
      <c r="P716" t="str">
        <f>IF(Table1[[#This Row],[Stock_Quantity]]=0,"Out of stock","Available")</f>
        <v>Available</v>
      </c>
    </row>
    <row r="717" spans="1:16" x14ac:dyDescent="0.3">
      <c r="A717" t="s">
        <v>1891</v>
      </c>
      <c r="B717" t="s">
        <v>1142</v>
      </c>
      <c r="C717" t="s">
        <v>40</v>
      </c>
      <c r="D717" t="s">
        <v>1887</v>
      </c>
      <c r="E717">
        <v>90</v>
      </c>
      <c r="F717">
        <v>75</v>
      </c>
      <c r="G717">
        <v>6</v>
      </c>
      <c r="H717" s="1">
        <v>5</v>
      </c>
      <c r="I717" s="2">
        <v>45658</v>
      </c>
      <c r="J717" t="s">
        <v>1892</v>
      </c>
      <c r="K717">
        <v>55</v>
      </c>
      <c r="L717" t="str">
        <f>IF(Table1[[#This Row],[Sales_Volume]]&gt;Table1[[#This Row],[Stock_Quantity]],"Pending","Fulfilled")</f>
        <v>Fulfilled</v>
      </c>
      <c r="M717">
        <v>3</v>
      </c>
      <c r="N717">
        <v>64</v>
      </c>
      <c r="O717" t="str">
        <f>IF(Table1[[#This Row],[Stock_Quantity]]&lt;=Table1[[#This Row],[Reorder_Level]],"Reoeder required","Sufficient")</f>
        <v>Sufficient</v>
      </c>
      <c r="P717" t="str">
        <f>IF(Table1[[#This Row],[Stock_Quantity]]=0,"Out of stock","Available")</f>
        <v>Available</v>
      </c>
    </row>
    <row r="718" spans="1:16" x14ac:dyDescent="0.3">
      <c r="A718" t="s">
        <v>1893</v>
      </c>
      <c r="B718" t="s">
        <v>895</v>
      </c>
      <c r="C718" t="s">
        <v>45</v>
      </c>
      <c r="D718" t="s">
        <v>915</v>
      </c>
      <c r="E718">
        <v>70</v>
      </c>
      <c r="F718">
        <v>81</v>
      </c>
      <c r="G718">
        <v>75</v>
      </c>
      <c r="H718" s="1">
        <v>2</v>
      </c>
      <c r="I718" s="2">
        <v>45349</v>
      </c>
      <c r="J718" t="s">
        <v>1894</v>
      </c>
      <c r="K718">
        <v>24</v>
      </c>
      <c r="L718" t="str">
        <f>IF(Table1[[#This Row],[Sales_Volume]]&gt;Table1[[#This Row],[Stock_Quantity]],"Pending","Fulfilled")</f>
        <v>Fulfilled</v>
      </c>
      <c r="M718">
        <v>3</v>
      </c>
      <c r="N718">
        <v>54</v>
      </c>
      <c r="O718" t="str">
        <f>IF(Table1[[#This Row],[Stock_Quantity]]&lt;=Table1[[#This Row],[Reorder_Level]],"Reoeder required","Sufficient")</f>
        <v>Reoeder required</v>
      </c>
      <c r="P718" t="str">
        <f>IF(Table1[[#This Row],[Stock_Quantity]]=0,"Out of stock","Available")</f>
        <v>Available</v>
      </c>
    </row>
    <row r="719" spans="1:16" x14ac:dyDescent="0.3">
      <c r="A719" t="s">
        <v>1895</v>
      </c>
      <c r="B719" t="s">
        <v>283</v>
      </c>
      <c r="C719" t="s">
        <v>31</v>
      </c>
      <c r="D719" t="s">
        <v>1896</v>
      </c>
      <c r="E719">
        <v>90</v>
      </c>
      <c r="F719">
        <v>22</v>
      </c>
      <c r="G719">
        <v>20</v>
      </c>
      <c r="H719" s="1">
        <v>4.5</v>
      </c>
      <c r="I719" s="2">
        <v>45710</v>
      </c>
      <c r="J719" t="s">
        <v>1897</v>
      </c>
      <c r="K719">
        <v>81</v>
      </c>
      <c r="L719" t="str">
        <f>IF(Table1[[#This Row],[Sales_Volume]]&gt;Table1[[#This Row],[Stock_Quantity]],"Pending","Fulfilled")</f>
        <v>Fulfilled</v>
      </c>
      <c r="M719">
        <v>4</v>
      </c>
      <c r="N719">
        <v>88</v>
      </c>
      <c r="O719" t="str">
        <f>IF(Table1[[#This Row],[Stock_Quantity]]&lt;=Table1[[#This Row],[Reorder_Level]],"Reoeder required","Sufficient")</f>
        <v>Sufficient</v>
      </c>
      <c r="P719" t="str">
        <f>IF(Table1[[#This Row],[Stock_Quantity]]=0,"Out of stock","Available")</f>
        <v>Available</v>
      </c>
    </row>
    <row r="720" spans="1:16" x14ac:dyDescent="0.3">
      <c r="A720" t="s">
        <v>1898</v>
      </c>
      <c r="B720" t="s">
        <v>393</v>
      </c>
      <c r="C720" t="s">
        <v>31</v>
      </c>
      <c r="D720" t="s">
        <v>479</v>
      </c>
      <c r="E720">
        <v>100</v>
      </c>
      <c r="F720">
        <v>7</v>
      </c>
      <c r="G720">
        <v>14</v>
      </c>
      <c r="H720" s="1">
        <v>2</v>
      </c>
      <c r="I720" s="2">
        <v>45357</v>
      </c>
      <c r="J720" t="s">
        <v>1899</v>
      </c>
      <c r="K720">
        <v>26</v>
      </c>
      <c r="L720" t="str">
        <f>IF(Table1[[#This Row],[Sales_Volume]]&gt;Table1[[#This Row],[Stock_Quantity]],"Pending","Fulfilled")</f>
        <v>Fulfilled</v>
      </c>
      <c r="M720">
        <v>3</v>
      </c>
      <c r="N720">
        <v>33</v>
      </c>
      <c r="O720" t="str">
        <f>IF(Table1[[#This Row],[Stock_Quantity]]&lt;=Table1[[#This Row],[Reorder_Level]],"Reoeder required","Sufficient")</f>
        <v>Sufficient</v>
      </c>
      <c r="P720" t="str">
        <f>IF(Table1[[#This Row],[Stock_Quantity]]=0,"Out of stock","Available")</f>
        <v>Available</v>
      </c>
    </row>
    <row r="721" spans="1:16" x14ac:dyDescent="0.3">
      <c r="A721" t="s">
        <v>1900</v>
      </c>
      <c r="B721" t="s">
        <v>861</v>
      </c>
      <c r="C721" t="s">
        <v>13</v>
      </c>
      <c r="D721" t="s">
        <v>1171</v>
      </c>
      <c r="E721">
        <v>89</v>
      </c>
      <c r="F721">
        <v>54</v>
      </c>
      <c r="G721">
        <v>15</v>
      </c>
      <c r="H721" s="1">
        <v>2.5</v>
      </c>
      <c r="I721" s="2">
        <v>45505</v>
      </c>
      <c r="J721" t="s">
        <v>1901</v>
      </c>
      <c r="K721">
        <v>64</v>
      </c>
      <c r="L721" t="str">
        <f>IF(Table1[[#This Row],[Sales_Volume]]&gt;Table1[[#This Row],[Stock_Quantity]],"Pending","Fulfilled")</f>
        <v>Fulfilled</v>
      </c>
      <c r="M721">
        <v>6</v>
      </c>
      <c r="N721">
        <v>63</v>
      </c>
      <c r="O721" t="str">
        <f>IF(Table1[[#This Row],[Stock_Quantity]]&lt;=Table1[[#This Row],[Reorder_Level]],"Reoeder required","Sufficient")</f>
        <v>Sufficient</v>
      </c>
      <c r="P721" t="str">
        <f>IF(Table1[[#This Row],[Stock_Quantity]]=0,"Out of stock","Available")</f>
        <v>Available</v>
      </c>
    </row>
    <row r="722" spans="1:16" x14ac:dyDescent="0.3">
      <c r="A722" t="s">
        <v>1902</v>
      </c>
      <c r="B722" t="s">
        <v>588</v>
      </c>
      <c r="C722" t="s">
        <v>13</v>
      </c>
      <c r="D722" t="s">
        <v>36</v>
      </c>
      <c r="E722">
        <v>38</v>
      </c>
      <c r="F722">
        <v>43</v>
      </c>
      <c r="G722">
        <v>28</v>
      </c>
      <c r="H722" s="1">
        <v>2.7</v>
      </c>
      <c r="I722" s="2">
        <v>45499</v>
      </c>
      <c r="J722" t="s">
        <v>1903</v>
      </c>
      <c r="K722">
        <v>34</v>
      </c>
      <c r="L722" t="str">
        <f>IF(Table1[[#This Row],[Sales_Volume]]&gt;Table1[[#This Row],[Stock_Quantity]],"Pending","Fulfilled")</f>
        <v>Fulfilled</v>
      </c>
      <c r="M722">
        <v>3</v>
      </c>
      <c r="N722">
        <v>54</v>
      </c>
      <c r="O722" t="str">
        <f>IF(Table1[[#This Row],[Stock_Quantity]]&lt;=Table1[[#This Row],[Reorder_Level]],"Reoeder required","Sufficient")</f>
        <v>Reoeder required</v>
      </c>
      <c r="P722" t="str">
        <f>IF(Table1[[#This Row],[Stock_Quantity]]=0,"Out of stock","Available")</f>
        <v>Available</v>
      </c>
    </row>
    <row r="723" spans="1:16" x14ac:dyDescent="0.3">
      <c r="A723" t="s">
        <v>1904</v>
      </c>
      <c r="B723" t="s">
        <v>64</v>
      </c>
      <c r="C723" t="s">
        <v>65</v>
      </c>
      <c r="D723" t="s">
        <v>1905</v>
      </c>
      <c r="E723">
        <v>61</v>
      </c>
      <c r="F723">
        <v>20</v>
      </c>
      <c r="G723">
        <v>29</v>
      </c>
      <c r="H723" s="1">
        <v>3</v>
      </c>
      <c r="I723" s="2">
        <v>45364</v>
      </c>
      <c r="J723" t="s">
        <v>1906</v>
      </c>
      <c r="K723">
        <v>71</v>
      </c>
      <c r="L723" t="str">
        <f>IF(Table1[[#This Row],[Sales_Volume]]&gt;Table1[[#This Row],[Stock_Quantity]],"Pending","Fulfilled")</f>
        <v>Pending</v>
      </c>
      <c r="M723">
        <v>5</v>
      </c>
      <c r="N723">
        <v>97</v>
      </c>
      <c r="O723" t="str">
        <f>IF(Table1[[#This Row],[Stock_Quantity]]&lt;=Table1[[#This Row],[Reorder_Level]],"Reoeder required","Sufficient")</f>
        <v>Sufficient</v>
      </c>
      <c r="P723" t="str">
        <f>IF(Table1[[#This Row],[Stock_Quantity]]=0,"Out of stock","Available")</f>
        <v>Available</v>
      </c>
    </row>
    <row r="724" spans="1:16" x14ac:dyDescent="0.3">
      <c r="A724" t="s">
        <v>1907</v>
      </c>
      <c r="B724" t="s">
        <v>211</v>
      </c>
      <c r="C724" t="s">
        <v>31</v>
      </c>
      <c r="D724" t="s">
        <v>918</v>
      </c>
      <c r="E724">
        <v>75</v>
      </c>
      <c r="F724">
        <v>48</v>
      </c>
      <c r="G724">
        <v>25</v>
      </c>
      <c r="H724" s="1">
        <v>3</v>
      </c>
      <c r="I724" s="2">
        <v>45521</v>
      </c>
      <c r="J724" t="s">
        <v>1908</v>
      </c>
      <c r="K724">
        <v>96</v>
      </c>
      <c r="L724" t="str">
        <f>IF(Table1[[#This Row],[Sales_Volume]]&gt;Table1[[#This Row],[Stock_Quantity]],"Pending","Fulfilled")</f>
        <v>Pending</v>
      </c>
      <c r="M724">
        <v>7</v>
      </c>
      <c r="N724">
        <v>65</v>
      </c>
      <c r="O724" t="str">
        <f>IF(Table1[[#This Row],[Stock_Quantity]]&lt;=Table1[[#This Row],[Reorder_Level]],"Reoeder required","Sufficient")</f>
        <v>Sufficient</v>
      </c>
      <c r="P724" t="str">
        <f>IF(Table1[[#This Row],[Stock_Quantity]]=0,"Out of stock","Available")</f>
        <v>Available</v>
      </c>
    </row>
    <row r="725" spans="1:16" x14ac:dyDescent="0.3">
      <c r="A725" t="s">
        <v>1909</v>
      </c>
      <c r="B725" t="s">
        <v>187</v>
      </c>
      <c r="C725" t="s">
        <v>65</v>
      </c>
      <c r="D725" t="s">
        <v>1910</v>
      </c>
      <c r="E725">
        <v>87</v>
      </c>
      <c r="F725">
        <v>70</v>
      </c>
      <c r="G725">
        <v>77</v>
      </c>
      <c r="H725" s="1">
        <v>3.2</v>
      </c>
      <c r="I725" s="2">
        <v>45349</v>
      </c>
      <c r="J725" t="s">
        <v>1911</v>
      </c>
      <c r="K725">
        <v>73</v>
      </c>
      <c r="L725" t="str">
        <f>IF(Table1[[#This Row],[Sales_Volume]]&gt;Table1[[#This Row],[Stock_Quantity]],"Pending","Fulfilled")</f>
        <v>Fulfilled</v>
      </c>
      <c r="M725">
        <v>7</v>
      </c>
      <c r="N725">
        <v>44</v>
      </c>
      <c r="O725" t="str">
        <f>IF(Table1[[#This Row],[Stock_Quantity]]&lt;=Table1[[#This Row],[Reorder_Level]],"Reoeder required","Sufficient")</f>
        <v>Sufficient</v>
      </c>
      <c r="P725" t="str">
        <f>IF(Table1[[#This Row],[Stock_Quantity]]=0,"Out of stock","Available")</f>
        <v>Available</v>
      </c>
    </row>
    <row r="726" spans="1:16" x14ac:dyDescent="0.3">
      <c r="A726" t="s">
        <v>1912</v>
      </c>
      <c r="B726" t="s">
        <v>80</v>
      </c>
      <c r="C726" t="s">
        <v>13</v>
      </c>
      <c r="D726" t="s">
        <v>1913</v>
      </c>
      <c r="E726">
        <v>71</v>
      </c>
      <c r="F726">
        <v>77</v>
      </c>
      <c r="G726">
        <v>30</v>
      </c>
      <c r="H726" s="1">
        <v>1.5</v>
      </c>
      <c r="I726" s="2">
        <v>45605</v>
      </c>
      <c r="J726" t="s">
        <v>1914</v>
      </c>
      <c r="K726">
        <v>34</v>
      </c>
      <c r="L726" t="str">
        <f>IF(Table1[[#This Row],[Sales_Volume]]&gt;Table1[[#This Row],[Stock_Quantity]],"Pending","Fulfilled")</f>
        <v>Fulfilled</v>
      </c>
      <c r="M726">
        <v>4</v>
      </c>
      <c r="N726">
        <v>57</v>
      </c>
      <c r="O726" t="str">
        <f>IF(Table1[[#This Row],[Stock_Quantity]]&lt;=Table1[[#This Row],[Reorder_Level]],"Reoeder required","Sufficient")</f>
        <v>Reoeder required</v>
      </c>
      <c r="P726" t="str">
        <f>IF(Table1[[#This Row],[Stock_Quantity]]=0,"Out of stock","Available")</f>
        <v>Available</v>
      </c>
    </row>
    <row r="727" spans="1:16" x14ac:dyDescent="0.3">
      <c r="A727" t="s">
        <v>1915</v>
      </c>
      <c r="B727" t="s">
        <v>150</v>
      </c>
      <c r="C727" t="s">
        <v>99</v>
      </c>
      <c r="D727" t="s">
        <v>1916</v>
      </c>
      <c r="E727">
        <v>98</v>
      </c>
      <c r="F727">
        <v>100</v>
      </c>
      <c r="G727">
        <v>34</v>
      </c>
      <c r="H727" s="1">
        <v>9</v>
      </c>
      <c r="I727" s="2">
        <v>45350</v>
      </c>
      <c r="J727" t="s">
        <v>1917</v>
      </c>
      <c r="K727">
        <v>53</v>
      </c>
      <c r="L727" t="str">
        <f>IF(Table1[[#This Row],[Sales_Volume]]&gt;Table1[[#This Row],[Stock_Quantity]],"Pending","Fulfilled")</f>
        <v>Fulfilled</v>
      </c>
      <c r="M727">
        <v>1</v>
      </c>
      <c r="N727">
        <v>20</v>
      </c>
      <c r="O727" t="str">
        <f>IF(Table1[[#This Row],[Stock_Quantity]]&lt;=Table1[[#This Row],[Reorder_Level]],"Reoeder required","Sufficient")</f>
        <v>Reoeder required</v>
      </c>
      <c r="P727" t="str">
        <f>IF(Table1[[#This Row],[Stock_Quantity]]=0,"Out of stock","Available")</f>
        <v>Available</v>
      </c>
    </row>
    <row r="728" spans="1:16" x14ac:dyDescent="0.3">
      <c r="A728" t="s">
        <v>1918</v>
      </c>
      <c r="B728" t="s">
        <v>103</v>
      </c>
      <c r="C728" t="s">
        <v>31</v>
      </c>
      <c r="D728" t="s">
        <v>744</v>
      </c>
      <c r="E728">
        <v>19</v>
      </c>
      <c r="F728">
        <v>92</v>
      </c>
      <c r="G728">
        <v>41</v>
      </c>
      <c r="H728" s="1">
        <v>2</v>
      </c>
      <c r="I728" s="2">
        <v>45668</v>
      </c>
      <c r="J728" t="s">
        <v>1919</v>
      </c>
      <c r="K728">
        <v>51</v>
      </c>
      <c r="L728" t="str">
        <f>IF(Table1[[#This Row],[Sales_Volume]]&gt;Table1[[#This Row],[Stock_Quantity]],"Pending","Fulfilled")</f>
        <v>Pending</v>
      </c>
      <c r="M728">
        <v>5</v>
      </c>
      <c r="N728">
        <v>79</v>
      </c>
      <c r="O728" t="str">
        <f>IF(Table1[[#This Row],[Stock_Quantity]]&lt;=Table1[[#This Row],[Reorder_Level]],"Reoeder required","Sufficient")</f>
        <v>Reoeder required</v>
      </c>
      <c r="P728" t="str">
        <f>IF(Table1[[#This Row],[Stock_Quantity]]=0,"Out of stock","Available")</f>
        <v>Available</v>
      </c>
    </row>
    <row r="729" spans="1:16" x14ac:dyDescent="0.3">
      <c r="A729" t="s">
        <v>1920</v>
      </c>
      <c r="B729" t="s">
        <v>405</v>
      </c>
      <c r="C729" t="s">
        <v>31</v>
      </c>
      <c r="D729" t="s">
        <v>1921</v>
      </c>
      <c r="E729">
        <v>85</v>
      </c>
      <c r="F729">
        <v>90</v>
      </c>
      <c r="G729">
        <v>16</v>
      </c>
      <c r="H729" s="1">
        <v>5</v>
      </c>
      <c r="I729" s="2">
        <v>45446</v>
      </c>
      <c r="J729" t="s">
        <v>1922</v>
      </c>
      <c r="K729">
        <v>61</v>
      </c>
      <c r="L729" t="str">
        <f>IF(Table1[[#This Row],[Sales_Volume]]&gt;Table1[[#This Row],[Stock_Quantity]],"Pending","Fulfilled")</f>
        <v>Fulfilled</v>
      </c>
      <c r="M729">
        <v>5</v>
      </c>
      <c r="N729">
        <v>80</v>
      </c>
      <c r="O729" t="str">
        <f>IF(Table1[[#This Row],[Stock_Quantity]]&lt;=Table1[[#This Row],[Reorder_Level]],"Reoeder required","Sufficient")</f>
        <v>Reoeder required</v>
      </c>
      <c r="P729" t="str">
        <f>IF(Table1[[#This Row],[Stock_Quantity]]=0,"Out of stock","Available")</f>
        <v>Available</v>
      </c>
    </row>
    <row r="730" spans="1:16" x14ac:dyDescent="0.3">
      <c r="A730" t="s">
        <v>1923</v>
      </c>
      <c r="B730" t="s">
        <v>926</v>
      </c>
      <c r="C730" t="s">
        <v>31</v>
      </c>
      <c r="D730" t="s">
        <v>719</v>
      </c>
      <c r="E730">
        <v>71</v>
      </c>
      <c r="F730">
        <v>36</v>
      </c>
      <c r="G730">
        <v>45</v>
      </c>
      <c r="H730" s="1">
        <v>3.5</v>
      </c>
      <c r="I730" s="2">
        <v>45613</v>
      </c>
      <c r="J730" t="s">
        <v>1924</v>
      </c>
      <c r="K730">
        <v>87</v>
      </c>
      <c r="L730" t="str">
        <f>IF(Table1[[#This Row],[Sales_Volume]]&gt;Table1[[#This Row],[Stock_Quantity]],"Pending","Fulfilled")</f>
        <v>Pending</v>
      </c>
      <c r="M730">
        <v>8</v>
      </c>
      <c r="N730">
        <v>2</v>
      </c>
      <c r="O730" t="str">
        <f>IF(Table1[[#This Row],[Stock_Quantity]]&lt;=Table1[[#This Row],[Reorder_Level]],"Reoeder required","Sufficient")</f>
        <v>Sufficient</v>
      </c>
      <c r="P730" t="str">
        <f>IF(Table1[[#This Row],[Stock_Quantity]]=0,"Out of stock","Available")</f>
        <v>Available</v>
      </c>
    </row>
    <row r="731" spans="1:16" x14ac:dyDescent="0.3">
      <c r="A731" t="s">
        <v>1925</v>
      </c>
      <c r="B731" t="s">
        <v>861</v>
      </c>
      <c r="C731" t="s">
        <v>13</v>
      </c>
      <c r="D731" t="s">
        <v>201</v>
      </c>
      <c r="E731">
        <v>44</v>
      </c>
      <c r="F731">
        <v>48</v>
      </c>
      <c r="G731">
        <v>77</v>
      </c>
      <c r="H731" s="1">
        <v>2.5</v>
      </c>
      <c r="I731" s="2">
        <v>45552</v>
      </c>
      <c r="J731" t="s">
        <v>1926</v>
      </c>
      <c r="K731">
        <v>67</v>
      </c>
      <c r="L731" t="str">
        <f>IF(Table1[[#This Row],[Sales_Volume]]&gt;Table1[[#This Row],[Stock_Quantity]],"Pending","Fulfilled")</f>
        <v>Pending</v>
      </c>
      <c r="M731">
        <v>4</v>
      </c>
      <c r="N731">
        <v>79</v>
      </c>
      <c r="O731" t="str">
        <f>IF(Table1[[#This Row],[Stock_Quantity]]&lt;=Table1[[#This Row],[Reorder_Level]],"Reoeder required","Sufficient")</f>
        <v>Reoeder required</v>
      </c>
      <c r="P731" t="str">
        <f>IF(Table1[[#This Row],[Stock_Quantity]]=0,"Out of stock","Available")</f>
        <v>Available</v>
      </c>
    </row>
    <row r="732" spans="1:16" x14ac:dyDescent="0.3">
      <c r="A732" t="s">
        <v>1927</v>
      </c>
      <c r="B732" t="s">
        <v>363</v>
      </c>
      <c r="C732" t="s">
        <v>13</v>
      </c>
      <c r="D732" t="s">
        <v>366</v>
      </c>
      <c r="E732">
        <v>25</v>
      </c>
      <c r="F732">
        <v>95</v>
      </c>
      <c r="G732">
        <v>71</v>
      </c>
      <c r="H732" s="1">
        <v>2</v>
      </c>
      <c r="I732" s="2">
        <v>45482</v>
      </c>
      <c r="J732" t="s">
        <v>1928</v>
      </c>
      <c r="K732">
        <v>24</v>
      </c>
      <c r="L732" t="str">
        <f>IF(Table1[[#This Row],[Sales_Volume]]&gt;Table1[[#This Row],[Stock_Quantity]],"Pending","Fulfilled")</f>
        <v>Fulfilled</v>
      </c>
      <c r="M732">
        <v>4</v>
      </c>
      <c r="N732">
        <v>76</v>
      </c>
      <c r="O732" t="str">
        <f>IF(Table1[[#This Row],[Stock_Quantity]]&lt;=Table1[[#This Row],[Reorder_Level]],"Reoeder required","Sufficient")</f>
        <v>Reoeder required</v>
      </c>
      <c r="P732" t="str">
        <f>IF(Table1[[#This Row],[Stock_Quantity]]=0,"Out of stock","Available")</f>
        <v>Available</v>
      </c>
    </row>
    <row r="733" spans="1:16" x14ac:dyDescent="0.3">
      <c r="A733" t="s">
        <v>1929</v>
      </c>
      <c r="B733" t="s">
        <v>334</v>
      </c>
      <c r="C733" t="s">
        <v>40</v>
      </c>
      <c r="D733" t="s">
        <v>1188</v>
      </c>
      <c r="E733">
        <v>24</v>
      </c>
      <c r="F733">
        <v>14</v>
      </c>
      <c r="G733">
        <v>5</v>
      </c>
      <c r="H733" s="1">
        <v>4</v>
      </c>
      <c r="I733" s="2">
        <v>45381</v>
      </c>
      <c r="J733" t="s">
        <v>1930</v>
      </c>
      <c r="K733">
        <v>98</v>
      </c>
      <c r="L733" t="str">
        <f>IF(Table1[[#This Row],[Sales_Volume]]&gt;Table1[[#This Row],[Stock_Quantity]],"Pending","Fulfilled")</f>
        <v>Pending</v>
      </c>
      <c r="M733">
        <v>7</v>
      </c>
      <c r="N733">
        <v>9</v>
      </c>
      <c r="O733" t="str">
        <f>IF(Table1[[#This Row],[Stock_Quantity]]&lt;=Table1[[#This Row],[Reorder_Level]],"Reoeder required","Sufficient")</f>
        <v>Sufficient</v>
      </c>
      <c r="P733" t="str">
        <f>IF(Table1[[#This Row],[Stock_Quantity]]=0,"Out of stock","Available")</f>
        <v>Available</v>
      </c>
    </row>
    <row r="734" spans="1:16" x14ac:dyDescent="0.3">
      <c r="A734" t="s">
        <v>1931</v>
      </c>
      <c r="B734" t="s">
        <v>610</v>
      </c>
      <c r="C734" t="s">
        <v>99</v>
      </c>
      <c r="D734" t="s">
        <v>201</v>
      </c>
      <c r="E734">
        <v>44</v>
      </c>
      <c r="F734">
        <v>97</v>
      </c>
      <c r="G734">
        <v>76</v>
      </c>
      <c r="H734" s="1">
        <v>10</v>
      </c>
      <c r="I734" s="2">
        <v>45392</v>
      </c>
      <c r="J734" t="s">
        <v>1932</v>
      </c>
      <c r="K734">
        <v>80</v>
      </c>
      <c r="L734" t="str">
        <f>IF(Table1[[#This Row],[Sales_Volume]]&gt;Table1[[#This Row],[Stock_Quantity]],"Pending","Fulfilled")</f>
        <v>Pending</v>
      </c>
      <c r="M734">
        <v>4</v>
      </c>
      <c r="N734">
        <v>33</v>
      </c>
      <c r="O734" t="str">
        <f>IF(Table1[[#This Row],[Stock_Quantity]]&lt;=Table1[[#This Row],[Reorder_Level]],"Reoeder required","Sufficient")</f>
        <v>Reoeder required</v>
      </c>
      <c r="P734" t="str">
        <f>IF(Table1[[#This Row],[Stock_Quantity]]=0,"Out of stock","Available")</f>
        <v>Available</v>
      </c>
    </row>
    <row r="735" spans="1:16" x14ac:dyDescent="0.3">
      <c r="A735" t="s">
        <v>1933</v>
      </c>
      <c r="B735" t="s">
        <v>525</v>
      </c>
      <c r="C735" t="s">
        <v>13</v>
      </c>
      <c r="D735" t="s">
        <v>961</v>
      </c>
      <c r="E735">
        <v>63</v>
      </c>
      <c r="F735">
        <v>4</v>
      </c>
      <c r="G735">
        <v>46</v>
      </c>
      <c r="H735" s="1">
        <v>2.5</v>
      </c>
      <c r="I735" s="2">
        <v>45372</v>
      </c>
      <c r="J735" t="s">
        <v>1934</v>
      </c>
      <c r="K735">
        <v>40</v>
      </c>
      <c r="L735" t="str">
        <f>IF(Table1[[#This Row],[Sales_Volume]]&gt;Table1[[#This Row],[Stock_Quantity]],"Pending","Fulfilled")</f>
        <v>Fulfilled</v>
      </c>
      <c r="M735">
        <v>2</v>
      </c>
      <c r="N735">
        <v>69</v>
      </c>
      <c r="O735" t="str">
        <f>IF(Table1[[#This Row],[Stock_Quantity]]&lt;=Table1[[#This Row],[Reorder_Level]],"Reoeder required","Sufficient")</f>
        <v>Sufficient</v>
      </c>
      <c r="P735" t="str">
        <f>IF(Table1[[#This Row],[Stock_Quantity]]=0,"Out of stock","Available")</f>
        <v>Available</v>
      </c>
    </row>
    <row r="736" spans="1:16" x14ac:dyDescent="0.3">
      <c r="A736" t="s">
        <v>1935</v>
      </c>
      <c r="B736" t="s">
        <v>350</v>
      </c>
      <c r="C736" t="s">
        <v>40</v>
      </c>
      <c r="D736" t="s">
        <v>419</v>
      </c>
      <c r="E736">
        <v>69</v>
      </c>
      <c r="F736">
        <v>59</v>
      </c>
      <c r="G736">
        <v>29</v>
      </c>
      <c r="H736" s="1">
        <v>1.8</v>
      </c>
      <c r="I736" s="2">
        <v>45435</v>
      </c>
      <c r="J736" t="s">
        <v>1936</v>
      </c>
      <c r="K736">
        <v>63</v>
      </c>
      <c r="L736" t="str">
        <f>IF(Table1[[#This Row],[Sales_Volume]]&gt;Table1[[#This Row],[Stock_Quantity]],"Pending","Fulfilled")</f>
        <v>Fulfilled</v>
      </c>
      <c r="M736">
        <v>1</v>
      </c>
      <c r="N736">
        <v>91</v>
      </c>
      <c r="O736" t="str">
        <f>IF(Table1[[#This Row],[Stock_Quantity]]&lt;=Table1[[#This Row],[Reorder_Level]],"Reoeder required","Sufficient")</f>
        <v>Sufficient</v>
      </c>
      <c r="P736" t="str">
        <f>IF(Table1[[#This Row],[Stock_Quantity]]=0,"Out of stock","Available")</f>
        <v>Available</v>
      </c>
    </row>
    <row r="737" spans="1:16" x14ac:dyDescent="0.3">
      <c r="A737" t="s">
        <v>1937</v>
      </c>
      <c r="B737" t="s">
        <v>478</v>
      </c>
      <c r="C737" t="s">
        <v>99</v>
      </c>
      <c r="D737" t="s">
        <v>1452</v>
      </c>
      <c r="E737">
        <v>88</v>
      </c>
      <c r="F737">
        <v>71</v>
      </c>
      <c r="G737">
        <v>9</v>
      </c>
      <c r="H737" s="1">
        <v>18</v>
      </c>
      <c r="I737" s="2">
        <v>45654</v>
      </c>
      <c r="J737" t="s">
        <v>1938</v>
      </c>
      <c r="K737">
        <v>28</v>
      </c>
      <c r="L737" t="str">
        <f>IF(Table1[[#This Row],[Sales_Volume]]&gt;Table1[[#This Row],[Stock_Quantity]],"Pending","Fulfilled")</f>
        <v>Fulfilled</v>
      </c>
      <c r="M737">
        <v>3</v>
      </c>
      <c r="N737">
        <v>14</v>
      </c>
      <c r="O737" t="str">
        <f>IF(Table1[[#This Row],[Stock_Quantity]]&lt;=Table1[[#This Row],[Reorder_Level]],"Reoeder required","Sufficient")</f>
        <v>Sufficient</v>
      </c>
      <c r="P737" t="str">
        <f>IF(Table1[[#This Row],[Stock_Quantity]]=0,"Out of stock","Available")</f>
        <v>Available</v>
      </c>
    </row>
    <row r="738" spans="1:16" x14ac:dyDescent="0.3">
      <c r="A738" t="s">
        <v>1939</v>
      </c>
      <c r="B738" t="s">
        <v>591</v>
      </c>
      <c r="C738" t="s">
        <v>18</v>
      </c>
      <c r="D738" t="s">
        <v>1940</v>
      </c>
      <c r="E738">
        <v>74</v>
      </c>
      <c r="F738">
        <v>2</v>
      </c>
      <c r="G738">
        <v>45</v>
      </c>
      <c r="H738" s="1">
        <v>10</v>
      </c>
      <c r="I738" s="2">
        <v>45691</v>
      </c>
      <c r="J738" t="s">
        <v>1941</v>
      </c>
      <c r="K738">
        <v>37</v>
      </c>
      <c r="L738" t="str">
        <f>IF(Table1[[#This Row],[Sales_Volume]]&gt;Table1[[#This Row],[Stock_Quantity]],"Pending","Fulfilled")</f>
        <v>Fulfilled</v>
      </c>
      <c r="M738">
        <v>7</v>
      </c>
      <c r="N738">
        <v>99</v>
      </c>
      <c r="O738" t="str">
        <f>IF(Table1[[#This Row],[Stock_Quantity]]&lt;=Table1[[#This Row],[Reorder_Level]],"Reoeder required","Sufficient")</f>
        <v>Sufficient</v>
      </c>
      <c r="P738" t="str">
        <f>IF(Table1[[#This Row],[Stock_Quantity]]=0,"Out of stock","Available")</f>
        <v>Available</v>
      </c>
    </row>
    <row r="739" spans="1:16" x14ac:dyDescent="0.3">
      <c r="A739" t="s">
        <v>1942</v>
      </c>
      <c r="B739" t="s">
        <v>283</v>
      </c>
      <c r="C739" t="s">
        <v>31</v>
      </c>
      <c r="D739" t="s">
        <v>1943</v>
      </c>
      <c r="E739">
        <v>98</v>
      </c>
      <c r="F739">
        <v>43</v>
      </c>
      <c r="G739">
        <v>9</v>
      </c>
      <c r="H739" s="1">
        <v>4.5</v>
      </c>
      <c r="I739" s="2">
        <v>45357</v>
      </c>
      <c r="J739" t="s">
        <v>1944</v>
      </c>
      <c r="K739">
        <v>86</v>
      </c>
      <c r="L739" t="str">
        <f>IF(Table1[[#This Row],[Sales_Volume]]&gt;Table1[[#This Row],[Stock_Quantity]],"Pending","Fulfilled")</f>
        <v>Fulfilled</v>
      </c>
      <c r="M739">
        <v>2</v>
      </c>
      <c r="N739">
        <v>62</v>
      </c>
      <c r="O739" t="str">
        <f>IF(Table1[[#This Row],[Stock_Quantity]]&lt;=Table1[[#This Row],[Reorder_Level]],"Reoeder required","Sufficient")</f>
        <v>Sufficient</v>
      </c>
      <c r="P739" t="str">
        <f>IF(Table1[[#This Row],[Stock_Quantity]]=0,"Out of stock","Available")</f>
        <v>Available</v>
      </c>
    </row>
    <row r="740" spans="1:16" x14ac:dyDescent="0.3">
      <c r="A740" t="s">
        <v>1945</v>
      </c>
      <c r="B740" t="s">
        <v>1662</v>
      </c>
      <c r="C740" t="s">
        <v>45</v>
      </c>
      <c r="D740" t="s">
        <v>817</v>
      </c>
      <c r="E740">
        <v>22</v>
      </c>
      <c r="F740">
        <v>19</v>
      </c>
      <c r="G740">
        <v>4</v>
      </c>
      <c r="H740" s="1">
        <v>0.2</v>
      </c>
      <c r="I740" s="2">
        <v>45368</v>
      </c>
      <c r="J740" t="s">
        <v>1946</v>
      </c>
      <c r="K740">
        <v>88</v>
      </c>
      <c r="L740" t="str">
        <f>IF(Table1[[#This Row],[Sales_Volume]]&gt;Table1[[#This Row],[Stock_Quantity]],"Pending","Fulfilled")</f>
        <v>Pending</v>
      </c>
      <c r="M740">
        <v>4</v>
      </c>
      <c r="N740">
        <v>24</v>
      </c>
      <c r="O740" t="str">
        <f>IF(Table1[[#This Row],[Stock_Quantity]]&lt;=Table1[[#This Row],[Reorder_Level]],"Reoeder required","Sufficient")</f>
        <v>Sufficient</v>
      </c>
      <c r="P740" t="str">
        <f>IF(Table1[[#This Row],[Stock_Quantity]]=0,"Out of stock","Available")</f>
        <v>Available</v>
      </c>
    </row>
    <row r="741" spans="1:16" x14ac:dyDescent="0.3">
      <c r="A741" t="s">
        <v>1947</v>
      </c>
      <c r="B741" t="s">
        <v>889</v>
      </c>
      <c r="C741" t="s">
        <v>31</v>
      </c>
      <c r="D741" t="s">
        <v>57</v>
      </c>
      <c r="E741">
        <v>55</v>
      </c>
      <c r="F741">
        <v>96</v>
      </c>
      <c r="G741">
        <v>40</v>
      </c>
      <c r="H741" s="1">
        <v>5</v>
      </c>
      <c r="I741" s="2">
        <v>45423</v>
      </c>
      <c r="J741" t="s">
        <v>1948</v>
      </c>
      <c r="K741">
        <v>23</v>
      </c>
      <c r="L741" t="str">
        <f>IF(Table1[[#This Row],[Sales_Volume]]&gt;Table1[[#This Row],[Stock_Quantity]],"Pending","Fulfilled")</f>
        <v>Fulfilled</v>
      </c>
      <c r="M741">
        <v>1</v>
      </c>
      <c r="N741">
        <v>47</v>
      </c>
      <c r="O741" t="str">
        <f>IF(Table1[[#This Row],[Stock_Quantity]]&lt;=Table1[[#This Row],[Reorder_Level]],"Reoeder required","Sufficient")</f>
        <v>Reoeder required</v>
      </c>
      <c r="P741" t="str">
        <f>IF(Table1[[#This Row],[Stock_Quantity]]=0,"Out of stock","Available")</f>
        <v>Available</v>
      </c>
    </row>
    <row r="742" spans="1:16" x14ac:dyDescent="0.3">
      <c r="A742" t="s">
        <v>1949</v>
      </c>
      <c r="B742" t="s">
        <v>252</v>
      </c>
      <c r="C742" t="s">
        <v>45</v>
      </c>
      <c r="D742" t="s">
        <v>1905</v>
      </c>
      <c r="E742">
        <v>96</v>
      </c>
      <c r="F742">
        <v>80</v>
      </c>
      <c r="G742">
        <v>20</v>
      </c>
      <c r="H742" s="1">
        <v>6.1</v>
      </c>
      <c r="I742" s="2">
        <v>45503</v>
      </c>
      <c r="J742" t="s">
        <v>1950</v>
      </c>
      <c r="K742">
        <v>94</v>
      </c>
      <c r="L742" t="str">
        <f>IF(Table1[[#This Row],[Sales_Volume]]&gt;Table1[[#This Row],[Stock_Quantity]],"Pending","Fulfilled")</f>
        <v>Fulfilled</v>
      </c>
      <c r="M742">
        <v>8</v>
      </c>
      <c r="N742">
        <v>49</v>
      </c>
      <c r="O742" t="str">
        <f>IF(Table1[[#This Row],[Stock_Quantity]]&lt;=Table1[[#This Row],[Reorder_Level]],"Reoeder required","Sufficient")</f>
        <v>Sufficient</v>
      </c>
      <c r="P742" t="str">
        <f>IF(Table1[[#This Row],[Stock_Quantity]]=0,"Out of stock","Available")</f>
        <v>Available</v>
      </c>
    </row>
    <row r="743" spans="1:16" x14ac:dyDescent="0.3">
      <c r="A743" t="s">
        <v>1951</v>
      </c>
      <c r="B743" t="s">
        <v>76</v>
      </c>
      <c r="C743" t="s">
        <v>45</v>
      </c>
      <c r="D743" t="s">
        <v>1852</v>
      </c>
      <c r="E743">
        <v>91</v>
      </c>
      <c r="F743">
        <v>7</v>
      </c>
      <c r="G743">
        <v>64</v>
      </c>
      <c r="H743" s="1">
        <v>7</v>
      </c>
      <c r="I743" s="2">
        <v>45516</v>
      </c>
      <c r="J743" t="s">
        <v>1952</v>
      </c>
      <c r="K743">
        <v>32</v>
      </c>
      <c r="L743" t="str">
        <f>IF(Table1[[#This Row],[Sales_Volume]]&gt;Table1[[#This Row],[Stock_Quantity]],"Pending","Fulfilled")</f>
        <v>Fulfilled</v>
      </c>
      <c r="M743">
        <v>5</v>
      </c>
      <c r="N743">
        <v>65</v>
      </c>
      <c r="O743" t="str">
        <f>IF(Table1[[#This Row],[Stock_Quantity]]&lt;=Table1[[#This Row],[Reorder_Level]],"Reoeder required","Sufficient")</f>
        <v>Sufficient</v>
      </c>
      <c r="P743" t="str">
        <f>IF(Table1[[#This Row],[Stock_Quantity]]=0,"Out of stock","Available")</f>
        <v>Available</v>
      </c>
    </row>
    <row r="744" spans="1:16" x14ac:dyDescent="0.3">
      <c r="A744" t="s">
        <v>1953</v>
      </c>
      <c r="B744" t="s">
        <v>743</v>
      </c>
      <c r="C744" t="s">
        <v>65</v>
      </c>
      <c r="D744" t="s">
        <v>881</v>
      </c>
      <c r="E744">
        <v>40</v>
      </c>
      <c r="F744">
        <v>91</v>
      </c>
      <c r="G744">
        <v>24</v>
      </c>
      <c r="H744" s="1">
        <v>4</v>
      </c>
      <c r="I744" s="2">
        <v>45638</v>
      </c>
      <c r="J744" t="s">
        <v>1954</v>
      </c>
      <c r="K744">
        <v>28</v>
      </c>
      <c r="L744" t="str">
        <f>IF(Table1[[#This Row],[Sales_Volume]]&gt;Table1[[#This Row],[Stock_Quantity]],"Pending","Fulfilled")</f>
        <v>Fulfilled</v>
      </c>
      <c r="M744">
        <v>2</v>
      </c>
      <c r="N744">
        <v>47</v>
      </c>
      <c r="O744" t="str">
        <f>IF(Table1[[#This Row],[Stock_Quantity]]&lt;=Table1[[#This Row],[Reorder_Level]],"Reoeder required","Sufficient")</f>
        <v>Reoeder required</v>
      </c>
      <c r="P744" t="str">
        <f>IF(Table1[[#This Row],[Stock_Quantity]]=0,"Out of stock","Available")</f>
        <v>Available</v>
      </c>
    </row>
    <row r="745" spans="1:16" x14ac:dyDescent="0.3">
      <c r="A745" t="s">
        <v>1955</v>
      </c>
      <c r="B745" t="s">
        <v>1101</v>
      </c>
      <c r="C745" t="s">
        <v>99</v>
      </c>
      <c r="D745" t="s">
        <v>511</v>
      </c>
      <c r="E745">
        <v>52</v>
      </c>
      <c r="F745">
        <v>46</v>
      </c>
      <c r="G745">
        <v>12</v>
      </c>
      <c r="H745" s="1">
        <v>15</v>
      </c>
      <c r="I745" s="2">
        <v>45447</v>
      </c>
      <c r="J745" t="s">
        <v>1956</v>
      </c>
      <c r="K745">
        <v>43</v>
      </c>
      <c r="L745" t="str">
        <f>IF(Table1[[#This Row],[Sales_Volume]]&gt;Table1[[#This Row],[Stock_Quantity]],"Pending","Fulfilled")</f>
        <v>Fulfilled</v>
      </c>
      <c r="M745">
        <v>5</v>
      </c>
      <c r="N745">
        <v>34</v>
      </c>
      <c r="O745" t="str">
        <f>IF(Table1[[#This Row],[Stock_Quantity]]&lt;=Table1[[#This Row],[Reorder_Level]],"Reoeder required","Sufficient")</f>
        <v>Sufficient</v>
      </c>
      <c r="P745" t="str">
        <f>IF(Table1[[#This Row],[Stock_Quantity]]=0,"Out of stock","Available")</f>
        <v>Available</v>
      </c>
    </row>
    <row r="746" spans="1:16" x14ac:dyDescent="0.3">
      <c r="A746" t="s">
        <v>1957</v>
      </c>
      <c r="B746" t="s">
        <v>393</v>
      </c>
      <c r="C746" t="s">
        <v>31</v>
      </c>
      <c r="D746" t="s">
        <v>1025</v>
      </c>
      <c r="E746">
        <v>22</v>
      </c>
      <c r="F746">
        <v>22</v>
      </c>
      <c r="G746">
        <v>65</v>
      </c>
      <c r="H746" s="1">
        <v>2</v>
      </c>
      <c r="I746" s="2">
        <v>45412</v>
      </c>
      <c r="J746" t="s">
        <v>1958</v>
      </c>
      <c r="K746">
        <v>62</v>
      </c>
      <c r="L746" t="str">
        <f>IF(Table1[[#This Row],[Sales_Volume]]&gt;Table1[[#This Row],[Stock_Quantity]],"Pending","Fulfilled")</f>
        <v>Pending</v>
      </c>
      <c r="M746">
        <v>1</v>
      </c>
      <c r="N746">
        <v>78</v>
      </c>
      <c r="O746" t="str">
        <f>IF(Table1[[#This Row],[Stock_Quantity]]&lt;=Table1[[#This Row],[Reorder_Level]],"Reoeder required","Sufficient")</f>
        <v>Reoeder required</v>
      </c>
      <c r="P746" t="str">
        <f>IF(Table1[[#This Row],[Stock_Quantity]]=0,"Out of stock","Available")</f>
        <v>Available</v>
      </c>
    </row>
    <row r="747" spans="1:16" x14ac:dyDescent="0.3">
      <c r="A747" t="s">
        <v>1959</v>
      </c>
      <c r="B747" t="s">
        <v>22</v>
      </c>
      <c r="C747" t="s">
        <v>13</v>
      </c>
      <c r="D747" t="s">
        <v>896</v>
      </c>
      <c r="E747">
        <v>98</v>
      </c>
      <c r="F747">
        <v>41</v>
      </c>
      <c r="G747">
        <v>98</v>
      </c>
      <c r="H747" s="1">
        <v>6.35</v>
      </c>
      <c r="I747" s="2">
        <v>45535</v>
      </c>
      <c r="J747" t="s">
        <v>1960</v>
      </c>
      <c r="K747">
        <v>70</v>
      </c>
      <c r="L747" t="str">
        <f>IF(Table1[[#This Row],[Sales_Volume]]&gt;Table1[[#This Row],[Stock_Quantity]],"Pending","Fulfilled")</f>
        <v>Fulfilled</v>
      </c>
      <c r="M747">
        <v>7</v>
      </c>
      <c r="N747">
        <v>75</v>
      </c>
      <c r="O747" t="str">
        <f>IF(Table1[[#This Row],[Stock_Quantity]]&lt;=Table1[[#This Row],[Reorder_Level]],"Reoeder required","Sufficient")</f>
        <v>Sufficient</v>
      </c>
      <c r="P747" t="str">
        <f>IF(Table1[[#This Row],[Stock_Quantity]]=0,"Out of stock","Available")</f>
        <v>Available</v>
      </c>
    </row>
    <row r="748" spans="1:16" x14ac:dyDescent="0.3">
      <c r="A748" t="s">
        <v>1961</v>
      </c>
      <c r="B748" t="s">
        <v>588</v>
      </c>
      <c r="C748" t="s">
        <v>13</v>
      </c>
      <c r="D748" t="s">
        <v>32</v>
      </c>
      <c r="E748">
        <v>59</v>
      </c>
      <c r="F748">
        <v>73</v>
      </c>
      <c r="G748">
        <v>86</v>
      </c>
      <c r="H748" s="1">
        <v>2.75</v>
      </c>
      <c r="I748" s="2">
        <v>45658</v>
      </c>
      <c r="J748" t="s">
        <v>1962</v>
      </c>
      <c r="K748">
        <v>32</v>
      </c>
      <c r="L748" t="str">
        <f>IF(Table1[[#This Row],[Sales_Volume]]&gt;Table1[[#This Row],[Stock_Quantity]],"Pending","Fulfilled")</f>
        <v>Fulfilled</v>
      </c>
      <c r="M748">
        <v>7</v>
      </c>
      <c r="N748">
        <v>56</v>
      </c>
      <c r="O748" t="str">
        <f>IF(Table1[[#This Row],[Stock_Quantity]]&lt;=Table1[[#This Row],[Reorder_Level]],"Reoeder required","Sufficient")</f>
        <v>Reoeder required</v>
      </c>
      <c r="P748" t="str">
        <f>IF(Table1[[#This Row],[Stock_Quantity]]=0,"Out of stock","Available")</f>
        <v>Available</v>
      </c>
    </row>
    <row r="749" spans="1:16" x14ac:dyDescent="0.3">
      <c r="A749" t="s">
        <v>1963</v>
      </c>
      <c r="B749" t="s">
        <v>342</v>
      </c>
      <c r="C749" t="s">
        <v>65</v>
      </c>
      <c r="D749" t="s">
        <v>1305</v>
      </c>
      <c r="E749">
        <v>99</v>
      </c>
      <c r="F749">
        <v>3</v>
      </c>
      <c r="G749">
        <v>79</v>
      </c>
      <c r="H749" s="1">
        <v>5</v>
      </c>
      <c r="I749" s="2">
        <v>45673</v>
      </c>
      <c r="J749" t="s">
        <v>1964</v>
      </c>
      <c r="K749">
        <v>65</v>
      </c>
      <c r="L749" t="str">
        <f>IF(Table1[[#This Row],[Sales_Volume]]&gt;Table1[[#This Row],[Stock_Quantity]],"Pending","Fulfilled")</f>
        <v>Fulfilled</v>
      </c>
      <c r="M749">
        <v>5</v>
      </c>
      <c r="N749">
        <v>16</v>
      </c>
      <c r="O749" t="str">
        <f>IF(Table1[[#This Row],[Stock_Quantity]]&lt;=Table1[[#This Row],[Reorder_Level]],"Reoeder required","Sufficient")</f>
        <v>Sufficient</v>
      </c>
      <c r="P749" t="str">
        <f>IF(Table1[[#This Row],[Stock_Quantity]]=0,"Out of stock","Available")</f>
        <v>Available</v>
      </c>
    </row>
    <row r="750" spans="1:16" x14ac:dyDescent="0.3">
      <c r="A750" t="s">
        <v>1965</v>
      </c>
      <c r="B750" t="s">
        <v>243</v>
      </c>
      <c r="C750" t="s">
        <v>18</v>
      </c>
      <c r="D750" t="s">
        <v>339</v>
      </c>
      <c r="E750">
        <v>18</v>
      </c>
      <c r="F750">
        <v>36</v>
      </c>
      <c r="G750">
        <v>53</v>
      </c>
      <c r="H750" s="1">
        <v>5.3</v>
      </c>
      <c r="I750" s="2">
        <v>45413</v>
      </c>
      <c r="J750" t="s">
        <v>1966</v>
      </c>
      <c r="K750">
        <v>65</v>
      </c>
      <c r="L750" t="str">
        <f>IF(Table1[[#This Row],[Sales_Volume]]&gt;Table1[[#This Row],[Stock_Quantity]],"Pending","Fulfilled")</f>
        <v>Pending</v>
      </c>
      <c r="M750">
        <v>3</v>
      </c>
      <c r="N750">
        <v>100</v>
      </c>
      <c r="O750" t="str">
        <f>IF(Table1[[#This Row],[Stock_Quantity]]&lt;=Table1[[#This Row],[Reorder_Level]],"Reoeder required","Sufficient")</f>
        <v>Reoeder required</v>
      </c>
      <c r="P750" t="str">
        <f>IF(Table1[[#This Row],[Stock_Quantity]]=0,"Out of stock","Available")</f>
        <v>Available</v>
      </c>
    </row>
    <row r="751" spans="1:16" x14ac:dyDescent="0.3">
      <c r="A751" t="s">
        <v>1967</v>
      </c>
      <c r="B751" t="s">
        <v>595</v>
      </c>
      <c r="C751" t="s">
        <v>31</v>
      </c>
      <c r="D751" t="s">
        <v>611</v>
      </c>
      <c r="E751">
        <v>58</v>
      </c>
      <c r="F751">
        <v>12</v>
      </c>
      <c r="G751">
        <v>99</v>
      </c>
      <c r="H751" s="1">
        <v>3</v>
      </c>
      <c r="I751" s="2">
        <v>45669</v>
      </c>
      <c r="J751" t="s">
        <v>1968</v>
      </c>
      <c r="K751">
        <v>71</v>
      </c>
      <c r="L751" t="str">
        <f>IF(Table1[[#This Row],[Sales_Volume]]&gt;Table1[[#This Row],[Stock_Quantity]],"Pending","Fulfilled")</f>
        <v>Pending</v>
      </c>
      <c r="M751">
        <v>7</v>
      </c>
      <c r="N751">
        <v>30</v>
      </c>
      <c r="O751" t="str">
        <f>IF(Table1[[#This Row],[Stock_Quantity]]&lt;=Table1[[#This Row],[Reorder_Level]],"Reoeder required","Sufficient")</f>
        <v>Sufficient</v>
      </c>
      <c r="P751" t="str">
        <f>IF(Table1[[#This Row],[Stock_Quantity]]=0,"Out of stock","Available")</f>
        <v>Available</v>
      </c>
    </row>
    <row r="752" spans="1:16" x14ac:dyDescent="0.3">
      <c r="A752" t="s">
        <v>1969</v>
      </c>
      <c r="B752" t="s">
        <v>22</v>
      </c>
      <c r="C752" t="s">
        <v>13</v>
      </c>
      <c r="D752" t="s">
        <v>744</v>
      </c>
      <c r="E752">
        <v>30</v>
      </c>
      <c r="F752">
        <v>34</v>
      </c>
      <c r="G752">
        <v>96</v>
      </c>
      <c r="H752" s="1">
        <v>6.3</v>
      </c>
      <c r="I752" s="2">
        <v>45645</v>
      </c>
      <c r="J752" t="s">
        <v>1970</v>
      </c>
      <c r="K752">
        <v>61</v>
      </c>
      <c r="L752" t="str">
        <f>IF(Table1[[#This Row],[Sales_Volume]]&gt;Table1[[#This Row],[Stock_Quantity]],"Pending","Fulfilled")</f>
        <v>Pending</v>
      </c>
      <c r="M752">
        <v>6</v>
      </c>
      <c r="N752">
        <v>13</v>
      </c>
      <c r="O752" t="str">
        <f>IF(Table1[[#This Row],[Stock_Quantity]]&lt;=Table1[[#This Row],[Reorder_Level]],"Reoeder required","Sufficient")</f>
        <v>Reoeder required</v>
      </c>
      <c r="P752" t="str">
        <f>IF(Table1[[#This Row],[Stock_Quantity]]=0,"Out of stock","Available")</f>
        <v>Available</v>
      </c>
    </row>
    <row r="753" spans="1:16" x14ac:dyDescent="0.3">
      <c r="A753" t="s">
        <v>1971</v>
      </c>
      <c r="B753" t="s">
        <v>905</v>
      </c>
      <c r="C753" t="s">
        <v>31</v>
      </c>
      <c r="D753" t="s">
        <v>229</v>
      </c>
      <c r="E753">
        <v>97</v>
      </c>
      <c r="F753">
        <v>97</v>
      </c>
      <c r="G753">
        <v>71</v>
      </c>
      <c r="H753" s="1">
        <v>4.5</v>
      </c>
      <c r="I753" s="2">
        <v>45564</v>
      </c>
      <c r="J753" t="s">
        <v>1972</v>
      </c>
      <c r="K753">
        <v>53</v>
      </c>
      <c r="L753" t="str">
        <f>IF(Table1[[#This Row],[Sales_Volume]]&gt;Table1[[#This Row],[Stock_Quantity]],"Pending","Fulfilled")</f>
        <v>Fulfilled</v>
      </c>
      <c r="M753">
        <v>4</v>
      </c>
      <c r="N753">
        <v>31</v>
      </c>
      <c r="O753" t="str">
        <f>IF(Table1[[#This Row],[Stock_Quantity]]&lt;=Table1[[#This Row],[Reorder_Level]],"Reoeder required","Sufficient")</f>
        <v>Reoeder required</v>
      </c>
      <c r="P753" t="str">
        <f>IF(Table1[[#This Row],[Stock_Quantity]]=0,"Out of stock","Available")</f>
        <v>Available</v>
      </c>
    </row>
    <row r="754" spans="1:16" x14ac:dyDescent="0.3">
      <c r="A754" t="s">
        <v>1973</v>
      </c>
      <c r="B754" t="s">
        <v>44</v>
      </c>
      <c r="C754" t="s">
        <v>45</v>
      </c>
      <c r="D754" t="s">
        <v>822</v>
      </c>
      <c r="E754">
        <v>50</v>
      </c>
      <c r="F754">
        <v>93</v>
      </c>
      <c r="G754">
        <v>37</v>
      </c>
      <c r="H754" s="1">
        <v>2.4500000000000002</v>
      </c>
      <c r="I754" s="2">
        <v>45353</v>
      </c>
      <c r="J754" t="s">
        <v>1974</v>
      </c>
      <c r="K754">
        <v>78</v>
      </c>
      <c r="L754" t="str">
        <f>IF(Table1[[#This Row],[Sales_Volume]]&gt;Table1[[#This Row],[Stock_Quantity]],"Pending","Fulfilled")</f>
        <v>Pending</v>
      </c>
      <c r="M754">
        <v>2</v>
      </c>
      <c r="N754">
        <v>79</v>
      </c>
      <c r="O754" t="str">
        <f>IF(Table1[[#This Row],[Stock_Quantity]]&lt;=Table1[[#This Row],[Reorder_Level]],"Reoeder required","Sufficient")</f>
        <v>Reoeder required</v>
      </c>
      <c r="P754" t="str">
        <f>IF(Table1[[#This Row],[Stock_Quantity]]=0,"Out of stock","Available")</f>
        <v>Available</v>
      </c>
    </row>
    <row r="755" spans="1:16" x14ac:dyDescent="0.3">
      <c r="A755" t="s">
        <v>1975</v>
      </c>
      <c r="B755" t="s">
        <v>549</v>
      </c>
      <c r="C755" t="s">
        <v>45</v>
      </c>
      <c r="D755" t="s">
        <v>1723</v>
      </c>
      <c r="E755">
        <v>70</v>
      </c>
      <c r="F755">
        <v>96</v>
      </c>
      <c r="G755">
        <v>35</v>
      </c>
      <c r="H755" s="1">
        <v>9</v>
      </c>
      <c r="I755" s="2">
        <v>45467</v>
      </c>
      <c r="J755" t="s">
        <v>1976</v>
      </c>
      <c r="K755">
        <v>63</v>
      </c>
      <c r="L755" t="str">
        <f>IF(Table1[[#This Row],[Sales_Volume]]&gt;Table1[[#This Row],[Stock_Quantity]],"Pending","Fulfilled")</f>
        <v>Fulfilled</v>
      </c>
      <c r="M755">
        <v>3</v>
      </c>
      <c r="N755">
        <v>84</v>
      </c>
      <c r="O755" t="str">
        <f>IF(Table1[[#This Row],[Stock_Quantity]]&lt;=Table1[[#This Row],[Reorder_Level]],"Reoeder required","Sufficient")</f>
        <v>Reoeder required</v>
      </c>
      <c r="P755" t="str">
        <f>IF(Table1[[#This Row],[Stock_Quantity]]=0,"Out of stock","Available")</f>
        <v>Available</v>
      </c>
    </row>
    <row r="756" spans="1:16" x14ac:dyDescent="0.3">
      <c r="A756" t="s">
        <v>1977</v>
      </c>
      <c r="B756" t="s">
        <v>338</v>
      </c>
      <c r="C756" t="s">
        <v>31</v>
      </c>
      <c r="D756" t="s">
        <v>1613</v>
      </c>
      <c r="E756">
        <v>40</v>
      </c>
      <c r="F756">
        <v>61</v>
      </c>
      <c r="G756">
        <v>47</v>
      </c>
      <c r="H756" s="1">
        <v>10</v>
      </c>
      <c r="I756" s="2">
        <v>45454</v>
      </c>
      <c r="J756" t="s">
        <v>1978</v>
      </c>
      <c r="K756">
        <v>76</v>
      </c>
      <c r="L756" t="str">
        <f>IF(Table1[[#This Row],[Sales_Volume]]&gt;Table1[[#This Row],[Stock_Quantity]],"Pending","Fulfilled")</f>
        <v>Pending</v>
      </c>
      <c r="M756">
        <v>4</v>
      </c>
      <c r="N756">
        <v>10</v>
      </c>
      <c r="O756" t="str">
        <f>IF(Table1[[#This Row],[Stock_Quantity]]&lt;=Table1[[#This Row],[Reorder_Level]],"Reoeder required","Sufficient")</f>
        <v>Reoeder required</v>
      </c>
      <c r="P756" t="str">
        <f>IF(Table1[[#This Row],[Stock_Quantity]]=0,"Out of stock","Available")</f>
        <v>Available</v>
      </c>
    </row>
    <row r="757" spans="1:16" x14ac:dyDescent="0.3">
      <c r="A757" t="s">
        <v>1979</v>
      </c>
      <c r="B757" t="s">
        <v>39</v>
      </c>
      <c r="C757" t="s">
        <v>40</v>
      </c>
      <c r="D757" t="s">
        <v>1226</v>
      </c>
      <c r="E757">
        <v>75</v>
      </c>
      <c r="F757">
        <v>23</v>
      </c>
      <c r="G757">
        <v>34</v>
      </c>
      <c r="H757" s="1">
        <v>2.5</v>
      </c>
      <c r="I757" s="2">
        <v>45539</v>
      </c>
      <c r="J757" t="s">
        <v>1980</v>
      </c>
      <c r="K757">
        <v>100</v>
      </c>
      <c r="L757" t="str">
        <f>IF(Table1[[#This Row],[Sales_Volume]]&gt;Table1[[#This Row],[Stock_Quantity]],"Pending","Fulfilled")</f>
        <v>Pending</v>
      </c>
      <c r="M757">
        <v>7</v>
      </c>
      <c r="N757">
        <v>54</v>
      </c>
      <c r="O757" t="str">
        <f>IF(Table1[[#This Row],[Stock_Quantity]]&lt;=Table1[[#This Row],[Reorder_Level]],"Reoeder required","Sufficient")</f>
        <v>Sufficient</v>
      </c>
      <c r="P757" t="str">
        <f>IF(Table1[[#This Row],[Stock_Quantity]]=0,"Out of stock","Available")</f>
        <v>Available</v>
      </c>
    </row>
    <row r="758" spans="1:16" x14ac:dyDescent="0.3">
      <c r="A758" t="s">
        <v>1981</v>
      </c>
      <c r="B758" t="s">
        <v>72</v>
      </c>
      <c r="C758" t="s">
        <v>31</v>
      </c>
      <c r="D758" t="s">
        <v>506</v>
      </c>
      <c r="E758">
        <v>26</v>
      </c>
      <c r="F758">
        <v>97</v>
      </c>
      <c r="G758">
        <v>12</v>
      </c>
      <c r="H758" s="1">
        <v>6</v>
      </c>
      <c r="I758" s="2">
        <v>45624</v>
      </c>
      <c r="J758" t="s">
        <v>1982</v>
      </c>
      <c r="K758">
        <v>94</v>
      </c>
      <c r="L758" t="str">
        <f>IF(Table1[[#This Row],[Sales_Volume]]&gt;Table1[[#This Row],[Stock_Quantity]],"Pending","Fulfilled")</f>
        <v>Pending</v>
      </c>
      <c r="M758">
        <v>1</v>
      </c>
      <c r="N758">
        <v>58</v>
      </c>
      <c r="O758" t="str">
        <f>IF(Table1[[#This Row],[Stock_Quantity]]&lt;=Table1[[#This Row],[Reorder_Level]],"Reoeder required","Sufficient")</f>
        <v>Reoeder required</v>
      </c>
      <c r="P758" t="str">
        <f>IF(Table1[[#This Row],[Stock_Quantity]]=0,"Out of stock","Available")</f>
        <v>Available</v>
      </c>
    </row>
    <row r="759" spans="1:16" x14ac:dyDescent="0.3">
      <c r="A759" t="s">
        <v>1983</v>
      </c>
      <c r="B759" t="s">
        <v>17</v>
      </c>
      <c r="C759" t="s">
        <v>18</v>
      </c>
      <c r="D759" t="s">
        <v>754</v>
      </c>
      <c r="E759">
        <v>13</v>
      </c>
      <c r="F759">
        <v>55</v>
      </c>
      <c r="G759">
        <v>77</v>
      </c>
      <c r="H759" s="1">
        <v>20</v>
      </c>
      <c r="I759" s="2">
        <v>45642</v>
      </c>
      <c r="J759" t="s">
        <v>1984</v>
      </c>
      <c r="K759">
        <v>67</v>
      </c>
      <c r="L759" t="str">
        <f>IF(Table1[[#This Row],[Sales_Volume]]&gt;Table1[[#This Row],[Stock_Quantity]],"Pending","Fulfilled")</f>
        <v>Pending</v>
      </c>
      <c r="M759">
        <v>8</v>
      </c>
      <c r="N759">
        <v>68</v>
      </c>
      <c r="O759" t="str">
        <f>IF(Table1[[#This Row],[Stock_Quantity]]&lt;=Table1[[#This Row],[Reorder_Level]],"Reoeder required","Sufficient")</f>
        <v>Reoeder required</v>
      </c>
      <c r="P759" t="str">
        <f>IF(Table1[[#This Row],[Stock_Quantity]]=0,"Out of stock","Available")</f>
        <v>Available</v>
      </c>
    </row>
    <row r="760" spans="1:16" x14ac:dyDescent="0.3">
      <c r="A760" t="s">
        <v>1985</v>
      </c>
      <c r="B760" t="s">
        <v>30</v>
      </c>
      <c r="C760" t="s">
        <v>31</v>
      </c>
      <c r="D760" t="s">
        <v>1986</v>
      </c>
      <c r="E760">
        <v>11</v>
      </c>
      <c r="F760">
        <v>58</v>
      </c>
      <c r="G760">
        <v>32</v>
      </c>
      <c r="H760" s="1">
        <v>4</v>
      </c>
      <c r="I760" s="2">
        <v>45482</v>
      </c>
      <c r="J760" t="s">
        <v>1987</v>
      </c>
      <c r="K760">
        <v>99</v>
      </c>
      <c r="L760" t="str">
        <f>IF(Table1[[#This Row],[Sales_Volume]]&gt;Table1[[#This Row],[Stock_Quantity]],"Pending","Fulfilled")</f>
        <v>Pending</v>
      </c>
      <c r="M760">
        <v>6</v>
      </c>
      <c r="N760">
        <v>94</v>
      </c>
      <c r="O760" t="str">
        <f>IF(Table1[[#This Row],[Stock_Quantity]]&lt;=Table1[[#This Row],[Reorder_Level]],"Reoeder required","Sufficient")</f>
        <v>Reoeder required</v>
      </c>
      <c r="P760" t="str">
        <f>IF(Table1[[#This Row],[Stock_Quantity]]=0,"Out of stock","Available")</f>
        <v>Available</v>
      </c>
    </row>
    <row r="761" spans="1:16" x14ac:dyDescent="0.3">
      <c r="A761" t="s">
        <v>1988</v>
      </c>
      <c r="B761" t="s">
        <v>1101</v>
      </c>
      <c r="C761" t="s">
        <v>99</v>
      </c>
      <c r="D761" t="s">
        <v>143</v>
      </c>
      <c r="E761">
        <v>98</v>
      </c>
      <c r="F761">
        <v>67</v>
      </c>
      <c r="G761">
        <v>49</v>
      </c>
      <c r="H761" s="1">
        <v>15</v>
      </c>
      <c r="I761" s="2">
        <v>45655</v>
      </c>
      <c r="J761" t="s">
        <v>1989</v>
      </c>
      <c r="K761">
        <v>21</v>
      </c>
      <c r="L761" t="str">
        <f>IF(Table1[[#This Row],[Sales_Volume]]&gt;Table1[[#This Row],[Stock_Quantity]],"Pending","Fulfilled")</f>
        <v>Fulfilled</v>
      </c>
      <c r="M761">
        <v>4</v>
      </c>
      <c r="N761">
        <v>61</v>
      </c>
      <c r="O761" t="str">
        <f>IF(Table1[[#This Row],[Stock_Quantity]]&lt;=Table1[[#This Row],[Reorder_Level]],"Reoeder required","Sufficient")</f>
        <v>Sufficient</v>
      </c>
      <c r="P761" t="str">
        <f>IF(Table1[[#This Row],[Stock_Quantity]]=0,"Out of stock","Available")</f>
        <v>Available</v>
      </c>
    </row>
    <row r="762" spans="1:16" x14ac:dyDescent="0.3">
      <c r="A762" t="s">
        <v>1990</v>
      </c>
      <c r="B762" t="s">
        <v>268</v>
      </c>
      <c r="C762" t="s">
        <v>31</v>
      </c>
      <c r="D762" t="s">
        <v>317</v>
      </c>
      <c r="E762">
        <v>35</v>
      </c>
      <c r="F762">
        <v>4</v>
      </c>
      <c r="G762">
        <v>76</v>
      </c>
      <c r="H762" s="1">
        <v>4</v>
      </c>
      <c r="I762" s="2">
        <v>45526</v>
      </c>
      <c r="J762" t="s">
        <v>1991</v>
      </c>
      <c r="K762">
        <v>90</v>
      </c>
      <c r="L762" t="str">
        <f>IF(Table1[[#This Row],[Sales_Volume]]&gt;Table1[[#This Row],[Stock_Quantity]],"Pending","Fulfilled")</f>
        <v>Pending</v>
      </c>
      <c r="M762">
        <v>2</v>
      </c>
      <c r="N762">
        <v>30</v>
      </c>
      <c r="O762" t="str">
        <f>IF(Table1[[#This Row],[Stock_Quantity]]&lt;=Table1[[#This Row],[Reorder_Level]],"Reoeder required","Sufficient")</f>
        <v>Sufficient</v>
      </c>
      <c r="P762" t="str">
        <f>IF(Table1[[#This Row],[Stock_Quantity]]=0,"Out of stock","Available")</f>
        <v>Available</v>
      </c>
    </row>
    <row r="763" spans="1:16" x14ac:dyDescent="0.3">
      <c r="A763" t="s">
        <v>1992</v>
      </c>
      <c r="B763" t="s">
        <v>786</v>
      </c>
      <c r="C763" t="s">
        <v>99</v>
      </c>
      <c r="D763" t="s">
        <v>1700</v>
      </c>
      <c r="E763">
        <v>45</v>
      </c>
      <c r="F763">
        <v>56</v>
      </c>
      <c r="G763">
        <v>64</v>
      </c>
      <c r="H763" s="1">
        <v>7.5</v>
      </c>
      <c r="I763" s="2">
        <v>45530</v>
      </c>
      <c r="J763" t="s">
        <v>1993</v>
      </c>
      <c r="K763">
        <v>35</v>
      </c>
      <c r="L763" t="str">
        <f>IF(Table1[[#This Row],[Sales_Volume]]&gt;Table1[[#This Row],[Stock_Quantity]],"Pending","Fulfilled")</f>
        <v>Fulfilled</v>
      </c>
      <c r="M763">
        <v>7</v>
      </c>
      <c r="N763">
        <v>82</v>
      </c>
      <c r="O763" t="str">
        <f>IF(Table1[[#This Row],[Stock_Quantity]]&lt;=Table1[[#This Row],[Reorder_Level]],"Reoeder required","Sufficient")</f>
        <v>Reoeder required</v>
      </c>
      <c r="P763" t="str">
        <f>IF(Table1[[#This Row],[Stock_Quantity]]=0,"Out of stock","Available")</f>
        <v>Available</v>
      </c>
    </row>
    <row r="764" spans="1:16" x14ac:dyDescent="0.3">
      <c r="A764" t="s">
        <v>1994</v>
      </c>
      <c r="B764" t="s">
        <v>757</v>
      </c>
      <c r="C764" t="s">
        <v>31</v>
      </c>
      <c r="D764" t="s">
        <v>1556</v>
      </c>
      <c r="E764">
        <v>47</v>
      </c>
      <c r="F764">
        <v>22</v>
      </c>
      <c r="G764">
        <v>69</v>
      </c>
      <c r="H764" s="1">
        <v>4</v>
      </c>
      <c r="I764" s="2">
        <v>45487</v>
      </c>
      <c r="J764" t="s">
        <v>1995</v>
      </c>
      <c r="K764">
        <v>26</v>
      </c>
      <c r="L764" t="str">
        <f>IF(Table1[[#This Row],[Sales_Volume]]&gt;Table1[[#This Row],[Stock_Quantity]],"Pending","Fulfilled")</f>
        <v>Fulfilled</v>
      </c>
      <c r="M764">
        <v>1</v>
      </c>
      <c r="N764">
        <v>59</v>
      </c>
      <c r="O764" t="str">
        <f>IF(Table1[[#This Row],[Stock_Quantity]]&lt;=Table1[[#This Row],[Reorder_Level]],"Reoeder required","Sufficient")</f>
        <v>Sufficient</v>
      </c>
      <c r="P764" t="str">
        <f>IF(Table1[[#This Row],[Stock_Quantity]]=0,"Out of stock","Available")</f>
        <v>Available</v>
      </c>
    </row>
    <row r="765" spans="1:16" x14ac:dyDescent="0.3">
      <c r="A765" t="s">
        <v>1996</v>
      </c>
      <c r="B765" t="s">
        <v>563</v>
      </c>
      <c r="C765" t="s">
        <v>40</v>
      </c>
      <c r="D765" t="s">
        <v>716</v>
      </c>
      <c r="E765">
        <v>89</v>
      </c>
      <c r="F765">
        <v>66</v>
      </c>
      <c r="G765">
        <v>28</v>
      </c>
      <c r="H765" s="1">
        <v>6.5</v>
      </c>
      <c r="I765" s="2">
        <v>45615</v>
      </c>
      <c r="J765" t="s">
        <v>1997</v>
      </c>
      <c r="K765">
        <v>39</v>
      </c>
      <c r="L765" t="str">
        <f>IF(Table1[[#This Row],[Sales_Volume]]&gt;Table1[[#This Row],[Stock_Quantity]],"Pending","Fulfilled")</f>
        <v>Fulfilled</v>
      </c>
      <c r="M765">
        <v>3</v>
      </c>
      <c r="N765">
        <v>25</v>
      </c>
      <c r="O765" t="str">
        <f>IF(Table1[[#This Row],[Stock_Quantity]]&lt;=Table1[[#This Row],[Reorder_Level]],"Reoeder required","Sufficient")</f>
        <v>Sufficient</v>
      </c>
      <c r="P765" t="str">
        <f>IF(Table1[[#This Row],[Stock_Quantity]]=0,"Out of stock","Available")</f>
        <v>Available</v>
      </c>
    </row>
    <row r="766" spans="1:16" x14ac:dyDescent="0.3">
      <c r="A766" t="s">
        <v>1998</v>
      </c>
      <c r="B766" t="s">
        <v>180</v>
      </c>
      <c r="C766" t="s">
        <v>18</v>
      </c>
      <c r="D766" t="s">
        <v>135</v>
      </c>
      <c r="E766">
        <v>33</v>
      </c>
      <c r="F766">
        <v>22</v>
      </c>
      <c r="G766">
        <v>94</v>
      </c>
      <c r="H766" s="1">
        <v>15</v>
      </c>
      <c r="I766" s="2">
        <v>45559</v>
      </c>
      <c r="J766" t="s">
        <v>1999</v>
      </c>
      <c r="K766">
        <v>96</v>
      </c>
      <c r="L766" t="str">
        <f>IF(Table1[[#This Row],[Sales_Volume]]&gt;Table1[[#This Row],[Stock_Quantity]],"Pending","Fulfilled")</f>
        <v>Pending</v>
      </c>
      <c r="M766">
        <v>3</v>
      </c>
      <c r="N766">
        <v>56</v>
      </c>
      <c r="O766" t="str">
        <f>IF(Table1[[#This Row],[Stock_Quantity]]&lt;=Table1[[#This Row],[Reorder_Level]],"Reoeder required","Sufficient")</f>
        <v>Sufficient</v>
      </c>
      <c r="P766" t="str">
        <f>IF(Table1[[#This Row],[Stock_Quantity]]=0,"Out of stock","Available")</f>
        <v>Available</v>
      </c>
    </row>
    <row r="767" spans="1:16" x14ac:dyDescent="0.3">
      <c r="A767" t="s">
        <v>2000</v>
      </c>
      <c r="B767" t="s">
        <v>889</v>
      </c>
      <c r="C767" t="s">
        <v>31</v>
      </c>
      <c r="D767" t="s">
        <v>896</v>
      </c>
      <c r="E767">
        <v>90</v>
      </c>
      <c r="F767">
        <v>30</v>
      </c>
      <c r="G767">
        <v>42</v>
      </c>
      <c r="H767" s="1">
        <v>5</v>
      </c>
      <c r="I767" s="2">
        <v>45502</v>
      </c>
      <c r="J767" t="s">
        <v>2001</v>
      </c>
      <c r="K767">
        <v>76</v>
      </c>
      <c r="L767" t="str">
        <f>IF(Table1[[#This Row],[Sales_Volume]]&gt;Table1[[#This Row],[Stock_Quantity]],"Pending","Fulfilled")</f>
        <v>Fulfilled</v>
      </c>
      <c r="M767">
        <v>8</v>
      </c>
      <c r="N767">
        <v>69</v>
      </c>
      <c r="O767" t="str">
        <f>IF(Table1[[#This Row],[Stock_Quantity]]&lt;=Table1[[#This Row],[Reorder_Level]],"Reoeder required","Sufficient")</f>
        <v>Sufficient</v>
      </c>
      <c r="P767" t="str">
        <f>IF(Table1[[#This Row],[Stock_Quantity]]=0,"Out of stock","Available")</f>
        <v>Available</v>
      </c>
    </row>
    <row r="768" spans="1:16" x14ac:dyDescent="0.3">
      <c r="A768" t="s">
        <v>2002</v>
      </c>
      <c r="B768" t="s">
        <v>359</v>
      </c>
      <c r="C768" t="s">
        <v>13</v>
      </c>
      <c r="D768" t="s">
        <v>1040</v>
      </c>
      <c r="E768">
        <v>44</v>
      </c>
      <c r="F768">
        <v>26</v>
      </c>
      <c r="G768">
        <v>60</v>
      </c>
      <c r="H768" s="1">
        <v>4.75</v>
      </c>
      <c r="I768" s="2">
        <v>45527</v>
      </c>
      <c r="J768" t="s">
        <v>2003</v>
      </c>
      <c r="K768">
        <v>63</v>
      </c>
      <c r="L768" t="str">
        <f>IF(Table1[[#This Row],[Sales_Volume]]&gt;Table1[[#This Row],[Stock_Quantity]],"Pending","Fulfilled")</f>
        <v>Pending</v>
      </c>
      <c r="M768">
        <v>3</v>
      </c>
      <c r="N768">
        <v>59</v>
      </c>
      <c r="O768" t="str">
        <f>IF(Table1[[#This Row],[Stock_Quantity]]&lt;=Table1[[#This Row],[Reorder_Level]],"Reoeder required","Sufficient")</f>
        <v>Sufficient</v>
      </c>
      <c r="P768" t="str">
        <f>IF(Table1[[#This Row],[Stock_Quantity]]=0,"Out of stock","Available")</f>
        <v>Available</v>
      </c>
    </row>
    <row r="769" spans="1:16" x14ac:dyDescent="0.3">
      <c r="A769" t="s">
        <v>2004</v>
      </c>
      <c r="B769" t="s">
        <v>1093</v>
      </c>
      <c r="C769" t="s">
        <v>13</v>
      </c>
      <c r="D769" t="s">
        <v>2005</v>
      </c>
      <c r="E769">
        <v>41</v>
      </c>
      <c r="F769">
        <v>56</v>
      </c>
      <c r="G769">
        <v>12</v>
      </c>
      <c r="H769" s="1">
        <v>9.75</v>
      </c>
      <c r="I769" s="2">
        <v>45621</v>
      </c>
      <c r="J769" t="s">
        <v>2006</v>
      </c>
      <c r="K769">
        <v>93</v>
      </c>
      <c r="L769" t="str">
        <f>IF(Table1[[#This Row],[Sales_Volume]]&gt;Table1[[#This Row],[Stock_Quantity]],"Pending","Fulfilled")</f>
        <v>Pending</v>
      </c>
      <c r="M769">
        <v>6</v>
      </c>
      <c r="N769">
        <v>88</v>
      </c>
      <c r="O769" t="str">
        <f>IF(Table1[[#This Row],[Stock_Quantity]]&lt;=Table1[[#This Row],[Reorder_Level]],"Reoeder required","Sufficient")</f>
        <v>Reoeder required</v>
      </c>
      <c r="P769" t="str">
        <f>IF(Table1[[#This Row],[Stock_Quantity]]=0,"Out of stock","Available")</f>
        <v>Available</v>
      </c>
    </row>
    <row r="770" spans="1:16" x14ac:dyDescent="0.3">
      <c r="A770" t="s">
        <v>2007</v>
      </c>
      <c r="B770" t="s">
        <v>299</v>
      </c>
      <c r="C770" t="s">
        <v>31</v>
      </c>
      <c r="D770" t="s">
        <v>1452</v>
      </c>
      <c r="E770">
        <v>72</v>
      </c>
      <c r="F770">
        <v>58</v>
      </c>
      <c r="G770">
        <v>69</v>
      </c>
      <c r="H770" s="1">
        <v>1.2</v>
      </c>
      <c r="I770" s="2">
        <v>45691</v>
      </c>
      <c r="J770" t="s">
        <v>2008</v>
      </c>
      <c r="K770">
        <v>96</v>
      </c>
      <c r="L770" t="str">
        <f>IF(Table1[[#This Row],[Sales_Volume]]&gt;Table1[[#This Row],[Stock_Quantity]],"Pending","Fulfilled")</f>
        <v>Pending</v>
      </c>
      <c r="M770">
        <v>1</v>
      </c>
      <c r="N770">
        <v>23</v>
      </c>
      <c r="O770" t="str">
        <f>IF(Table1[[#This Row],[Stock_Quantity]]&lt;=Table1[[#This Row],[Reorder_Level]],"Reoeder required","Sufficient")</f>
        <v>Sufficient</v>
      </c>
      <c r="P770" t="str">
        <f>IF(Table1[[#This Row],[Stock_Quantity]]=0,"Out of stock","Available")</f>
        <v>Available</v>
      </c>
    </row>
    <row r="771" spans="1:16" x14ac:dyDescent="0.3">
      <c r="A771" t="s">
        <v>2009</v>
      </c>
      <c r="B771" t="s">
        <v>44</v>
      </c>
      <c r="C771" t="s">
        <v>45</v>
      </c>
      <c r="D771" t="s">
        <v>155</v>
      </c>
      <c r="E771">
        <v>72</v>
      </c>
      <c r="F771">
        <v>58</v>
      </c>
      <c r="G771">
        <v>52</v>
      </c>
      <c r="H771" s="1">
        <v>2.4</v>
      </c>
      <c r="I771" s="2">
        <v>45428</v>
      </c>
      <c r="J771" t="s">
        <v>2010</v>
      </c>
      <c r="K771">
        <v>36</v>
      </c>
      <c r="L771" t="str">
        <f>IF(Table1[[#This Row],[Sales_Volume]]&gt;Table1[[#This Row],[Stock_Quantity]],"Pending","Fulfilled")</f>
        <v>Fulfilled</v>
      </c>
      <c r="M771">
        <v>1</v>
      </c>
      <c r="N771">
        <v>14</v>
      </c>
      <c r="O771" t="str">
        <f>IF(Table1[[#This Row],[Stock_Quantity]]&lt;=Table1[[#This Row],[Reorder_Level]],"Reoeder required","Sufficient")</f>
        <v>Sufficient</v>
      </c>
      <c r="P771" t="str">
        <f>IF(Table1[[#This Row],[Stock_Quantity]]=0,"Out of stock","Available")</f>
        <v>Available</v>
      </c>
    </row>
    <row r="772" spans="1:16" x14ac:dyDescent="0.3">
      <c r="A772" t="s">
        <v>2011</v>
      </c>
      <c r="B772" t="s">
        <v>180</v>
      </c>
      <c r="C772" t="s">
        <v>18</v>
      </c>
      <c r="D772" t="s">
        <v>710</v>
      </c>
      <c r="E772">
        <v>40</v>
      </c>
      <c r="F772">
        <v>30</v>
      </c>
      <c r="G772">
        <v>60</v>
      </c>
      <c r="H772" s="1">
        <v>15</v>
      </c>
      <c r="I772" s="2">
        <v>45588</v>
      </c>
      <c r="J772" t="s">
        <v>2012</v>
      </c>
      <c r="K772">
        <v>33</v>
      </c>
      <c r="L772" t="str">
        <f>IF(Table1[[#This Row],[Sales_Volume]]&gt;Table1[[#This Row],[Stock_Quantity]],"Pending","Fulfilled")</f>
        <v>Fulfilled</v>
      </c>
      <c r="M772">
        <v>2</v>
      </c>
      <c r="N772">
        <v>84</v>
      </c>
      <c r="O772" t="str">
        <f>IF(Table1[[#This Row],[Stock_Quantity]]&lt;=Table1[[#This Row],[Reorder_Level]],"Reoeder required","Sufficient")</f>
        <v>Sufficient</v>
      </c>
      <c r="P772" t="str">
        <f>IF(Table1[[#This Row],[Stock_Quantity]]=0,"Out of stock","Available")</f>
        <v>Available</v>
      </c>
    </row>
    <row r="773" spans="1:16" x14ac:dyDescent="0.3">
      <c r="A773" t="s">
        <v>2013</v>
      </c>
      <c r="B773" t="s">
        <v>1151</v>
      </c>
      <c r="C773" t="s">
        <v>65</v>
      </c>
      <c r="D773" t="s">
        <v>372</v>
      </c>
      <c r="E773">
        <v>36</v>
      </c>
      <c r="F773">
        <v>53</v>
      </c>
      <c r="G773">
        <v>92</v>
      </c>
      <c r="H773" s="1">
        <v>3.5</v>
      </c>
      <c r="I773" s="2">
        <v>45444</v>
      </c>
      <c r="J773" t="s">
        <v>2014</v>
      </c>
      <c r="K773">
        <v>67</v>
      </c>
      <c r="L773" t="str">
        <f>IF(Table1[[#This Row],[Sales_Volume]]&gt;Table1[[#This Row],[Stock_Quantity]],"Pending","Fulfilled")</f>
        <v>Pending</v>
      </c>
      <c r="M773">
        <v>8</v>
      </c>
      <c r="N773">
        <v>43</v>
      </c>
      <c r="O773" t="str">
        <f>IF(Table1[[#This Row],[Stock_Quantity]]&lt;=Table1[[#This Row],[Reorder_Level]],"Reoeder required","Sufficient")</f>
        <v>Reoeder required</v>
      </c>
      <c r="P773" t="str">
        <f>IF(Table1[[#This Row],[Stock_Quantity]]=0,"Out of stock","Available")</f>
        <v>Available</v>
      </c>
    </row>
    <row r="774" spans="1:16" x14ac:dyDescent="0.3">
      <c r="A774" t="s">
        <v>2015</v>
      </c>
      <c r="B774" t="s">
        <v>542</v>
      </c>
      <c r="C774" t="s">
        <v>40</v>
      </c>
      <c r="D774" t="s">
        <v>1212</v>
      </c>
      <c r="E774">
        <v>51</v>
      </c>
      <c r="F774">
        <v>87</v>
      </c>
      <c r="G774">
        <v>86</v>
      </c>
      <c r="H774" s="1">
        <v>2</v>
      </c>
      <c r="I774" s="2">
        <v>45431</v>
      </c>
      <c r="J774" t="s">
        <v>2016</v>
      </c>
      <c r="K774">
        <v>24</v>
      </c>
      <c r="L774" t="str">
        <f>IF(Table1[[#This Row],[Sales_Volume]]&gt;Table1[[#This Row],[Stock_Quantity]],"Pending","Fulfilled")</f>
        <v>Fulfilled</v>
      </c>
      <c r="M774">
        <v>2</v>
      </c>
      <c r="N774">
        <v>83</v>
      </c>
      <c r="O774" t="str">
        <f>IF(Table1[[#This Row],[Stock_Quantity]]&lt;=Table1[[#This Row],[Reorder_Level]],"Reoeder required","Sufficient")</f>
        <v>Reoeder required</v>
      </c>
      <c r="P774" t="str">
        <f>IF(Table1[[#This Row],[Stock_Quantity]]=0,"Out of stock","Available")</f>
        <v>Available</v>
      </c>
    </row>
    <row r="775" spans="1:16" x14ac:dyDescent="0.3">
      <c r="A775" t="s">
        <v>2017</v>
      </c>
      <c r="B775" t="s">
        <v>180</v>
      </c>
      <c r="C775" t="s">
        <v>18</v>
      </c>
      <c r="D775" t="s">
        <v>1369</v>
      </c>
      <c r="E775">
        <v>87</v>
      </c>
      <c r="F775">
        <v>91</v>
      </c>
      <c r="G775">
        <v>23</v>
      </c>
      <c r="H775" s="1">
        <v>14.9</v>
      </c>
      <c r="I775" s="2">
        <v>45435</v>
      </c>
      <c r="J775" t="s">
        <v>2018</v>
      </c>
      <c r="K775">
        <v>90</v>
      </c>
      <c r="L775" t="str">
        <f>IF(Table1[[#This Row],[Sales_Volume]]&gt;Table1[[#This Row],[Stock_Quantity]],"Pending","Fulfilled")</f>
        <v>Pending</v>
      </c>
      <c r="M775">
        <v>7</v>
      </c>
      <c r="N775">
        <v>75</v>
      </c>
      <c r="O775" t="str">
        <f>IF(Table1[[#This Row],[Stock_Quantity]]&lt;=Table1[[#This Row],[Reorder_Level]],"Reoeder required","Sufficient")</f>
        <v>Reoeder required</v>
      </c>
      <c r="P775" t="str">
        <f>IF(Table1[[#This Row],[Stock_Quantity]]=0,"Out of stock","Available")</f>
        <v>Available</v>
      </c>
    </row>
    <row r="776" spans="1:16" x14ac:dyDescent="0.3">
      <c r="A776" t="s">
        <v>2019</v>
      </c>
      <c r="B776" t="s">
        <v>130</v>
      </c>
      <c r="C776" t="s">
        <v>31</v>
      </c>
      <c r="D776" t="s">
        <v>1871</v>
      </c>
      <c r="E776">
        <v>79</v>
      </c>
      <c r="F776">
        <v>37</v>
      </c>
      <c r="G776">
        <v>98</v>
      </c>
      <c r="H776" s="1">
        <v>4.5</v>
      </c>
      <c r="I776" s="2">
        <v>45353</v>
      </c>
      <c r="J776" t="s">
        <v>2020</v>
      </c>
      <c r="K776">
        <v>33</v>
      </c>
      <c r="L776" t="str">
        <f>IF(Table1[[#This Row],[Sales_Volume]]&gt;Table1[[#This Row],[Stock_Quantity]],"Pending","Fulfilled")</f>
        <v>Fulfilled</v>
      </c>
      <c r="M776">
        <v>3</v>
      </c>
      <c r="N776">
        <v>20</v>
      </c>
      <c r="O776" t="str">
        <f>IF(Table1[[#This Row],[Stock_Quantity]]&lt;=Table1[[#This Row],[Reorder_Level]],"Reoeder required","Sufficient")</f>
        <v>Sufficient</v>
      </c>
      <c r="P776" t="str">
        <f>IF(Table1[[#This Row],[Stock_Quantity]]=0,"Out of stock","Available")</f>
        <v>Available</v>
      </c>
    </row>
    <row r="777" spans="1:16" x14ac:dyDescent="0.3">
      <c r="A777" t="s">
        <v>2021</v>
      </c>
      <c r="B777" t="s">
        <v>390</v>
      </c>
      <c r="C777" t="s">
        <v>99</v>
      </c>
      <c r="D777" t="s">
        <v>1385</v>
      </c>
      <c r="E777">
        <v>14</v>
      </c>
      <c r="F777">
        <v>52</v>
      </c>
      <c r="G777">
        <v>80</v>
      </c>
      <c r="H777" s="1">
        <v>6.8</v>
      </c>
      <c r="I777" s="2">
        <v>45486</v>
      </c>
      <c r="J777" t="s">
        <v>2022</v>
      </c>
      <c r="K777">
        <v>64</v>
      </c>
      <c r="L777" t="str">
        <f>IF(Table1[[#This Row],[Sales_Volume]]&gt;Table1[[#This Row],[Stock_Quantity]],"Pending","Fulfilled")</f>
        <v>Pending</v>
      </c>
      <c r="M777">
        <v>2</v>
      </c>
      <c r="N777">
        <v>17</v>
      </c>
      <c r="O777" t="str">
        <f>IF(Table1[[#This Row],[Stock_Quantity]]&lt;=Table1[[#This Row],[Reorder_Level]],"Reoeder required","Sufficient")</f>
        <v>Reoeder required</v>
      </c>
      <c r="P777" t="str">
        <f>IF(Table1[[#This Row],[Stock_Quantity]]=0,"Out of stock","Available")</f>
        <v>Available</v>
      </c>
    </row>
    <row r="778" spans="1:16" x14ac:dyDescent="0.3">
      <c r="A778" t="s">
        <v>2023</v>
      </c>
      <c r="B778" t="s">
        <v>211</v>
      </c>
      <c r="C778" t="s">
        <v>31</v>
      </c>
      <c r="D778" t="s">
        <v>801</v>
      </c>
      <c r="E778">
        <v>81</v>
      </c>
      <c r="F778">
        <v>35</v>
      </c>
      <c r="G778">
        <v>82</v>
      </c>
      <c r="H778" s="1">
        <v>3</v>
      </c>
      <c r="I778" s="2">
        <v>45376</v>
      </c>
      <c r="J778" t="s">
        <v>2024</v>
      </c>
      <c r="K778">
        <v>86</v>
      </c>
      <c r="L778" t="str">
        <f>IF(Table1[[#This Row],[Sales_Volume]]&gt;Table1[[#This Row],[Stock_Quantity]],"Pending","Fulfilled")</f>
        <v>Pending</v>
      </c>
      <c r="M778">
        <v>4</v>
      </c>
      <c r="N778">
        <v>71</v>
      </c>
      <c r="O778" t="str">
        <f>IF(Table1[[#This Row],[Stock_Quantity]]&lt;=Table1[[#This Row],[Reorder_Level]],"Reoeder required","Sufficient")</f>
        <v>Sufficient</v>
      </c>
      <c r="P778" t="str">
        <f>IF(Table1[[#This Row],[Stock_Quantity]]=0,"Out of stock","Available")</f>
        <v>Available</v>
      </c>
    </row>
    <row r="779" spans="1:16" x14ac:dyDescent="0.3">
      <c r="A779" t="s">
        <v>2025</v>
      </c>
      <c r="B779" t="s">
        <v>669</v>
      </c>
      <c r="C779" t="s">
        <v>31</v>
      </c>
      <c r="D779" t="s">
        <v>253</v>
      </c>
      <c r="E779">
        <v>75</v>
      </c>
      <c r="F779">
        <v>18</v>
      </c>
      <c r="G779">
        <v>65</v>
      </c>
      <c r="H779" s="1">
        <v>2</v>
      </c>
      <c r="I779" s="2">
        <v>45656</v>
      </c>
      <c r="J779" t="s">
        <v>2026</v>
      </c>
      <c r="K779">
        <v>32</v>
      </c>
      <c r="L779" t="str">
        <f>IF(Table1[[#This Row],[Sales_Volume]]&gt;Table1[[#This Row],[Stock_Quantity]],"Pending","Fulfilled")</f>
        <v>Fulfilled</v>
      </c>
      <c r="M779">
        <v>4</v>
      </c>
      <c r="N779">
        <v>92</v>
      </c>
      <c r="O779" t="str">
        <f>IF(Table1[[#This Row],[Stock_Quantity]]&lt;=Table1[[#This Row],[Reorder_Level]],"Reoeder required","Sufficient")</f>
        <v>Sufficient</v>
      </c>
      <c r="P779" t="str">
        <f>IF(Table1[[#This Row],[Stock_Quantity]]=0,"Out of stock","Available")</f>
        <v>Available</v>
      </c>
    </row>
    <row r="780" spans="1:16" x14ac:dyDescent="0.3">
      <c r="A780" t="s">
        <v>2027</v>
      </c>
      <c r="B780" t="s">
        <v>469</v>
      </c>
      <c r="C780" t="s">
        <v>45</v>
      </c>
      <c r="D780" t="s">
        <v>240</v>
      </c>
      <c r="E780">
        <v>48</v>
      </c>
      <c r="F780">
        <v>12</v>
      </c>
      <c r="G780">
        <v>62</v>
      </c>
      <c r="H780" s="1">
        <v>7</v>
      </c>
      <c r="I780" s="2">
        <v>45416</v>
      </c>
      <c r="J780" t="s">
        <v>2028</v>
      </c>
      <c r="K780">
        <v>59</v>
      </c>
      <c r="L780" t="str">
        <f>IF(Table1[[#This Row],[Sales_Volume]]&gt;Table1[[#This Row],[Stock_Quantity]],"Pending","Fulfilled")</f>
        <v>Pending</v>
      </c>
      <c r="M780">
        <v>4</v>
      </c>
      <c r="N780">
        <v>23</v>
      </c>
      <c r="O780" t="str">
        <f>IF(Table1[[#This Row],[Stock_Quantity]]&lt;=Table1[[#This Row],[Reorder_Level]],"Reoeder required","Sufficient")</f>
        <v>Sufficient</v>
      </c>
      <c r="P780" t="str">
        <f>IF(Table1[[#This Row],[Stock_Quantity]]=0,"Out of stock","Available")</f>
        <v>Available</v>
      </c>
    </row>
    <row r="781" spans="1:16" x14ac:dyDescent="0.3">
      <c r="A781" t="s">
        <v>2029</v>
      </c>
      <c r="B781" t="s">
        <v>154</v>
      </c>
      <c r="C781" t="s">
        <v>31</v>
      </c>
      <c r="D781" t="s">
        <v>1233</v>
      </c>
      <c r="E781">
        <v>50</v>
      </c>
      <c r="F781">
        <v>68</v>
      </c>
      <c r="G781">
        <v>90</v>
      </c>
      <c r="H781" s="1">
        <v>2</v>
      </c>
      <c r="I781" s="2">
        <v>45421</v>
      </c>
      <c r="J781" t="s">
        <v>2030</v>
      </c>
      <c r="K781">
        <v>40</v>
      </c>
      <c r="L781" t="str">
        <f>IF(Table1[[#This Row],[Sales_Volume]]&gt;Table1[[#This Row],[Stock_Quantity]],"Pending","Fulfilled")</f>
        <v>Fulfilled</v>
      </c>
      <c r="M781">
        <v>8</v>
      </c>
      <c r="N781">
        <v>13</v>
      </c>
      <c r="O781" t="str">
        <f>IF(Table1[[#This Row],[Stock_Quantity]]&lt;=Table1[[#This Row],[Reorder_Level]],"Reoeder required","Sufficient")</f>
        <v>Reoeder required</v>
      </c>
      <c r="P781" t="str">
        <f>IF(Table1[[#This Row],[Stock_Quantity]]=0,"Out of stock","Available")</f>
        <v>Available</v>
      </c>
    </row>
    <row r="782" spans="1:16" x14ac:dyDescent="0.3">
      <c r="A782" t="s">
        <v>2031</v>
      </c>
      <c r="B782" t="s">
        <v>150</v>
      </c>
      <c r="C782" t="s">
        <v>99</v>
      </c>
      <c r="D782" t="s">
        <v>273</v>
      </c>
      <c r="E782">
        <v>11</v>
      </c>
      <c r="F782">
        <v>87</v>
      </c>
      <c r="G782">
        <v>43</v>
      </c>
      <c r="H782" s="1">
        <v>9</v>
      </c>
      <c r="I782" s="2">
        <v>45449</v>
      </c>
      <c r="J782" t="s">
        <v>2032</v>
      </c>
      <c r="K782">
        <v>86</v>
      </c>
      <c r="L782" t="str">
        <f>IF(Table1[[#This Row],[Sales_Volume]]&gt;Table1[[#This Row],[Stock_Quantity]],"Pending","Fulfilled")</f>
        <v>Pending</v>
      </c>
      <c r="M782">
        <v>3</v>
      </c>
      <c r="N782">
        <v>91</v>
      </c>
      <c r="O782" t="str">
        <f>IF(Table1[[#This Row],[Stock_Quantity]]&lt;=Table1[[#This Row],[Reorder_Level]],"Reoeder required","Sufficient")</f>
        <v>Reoeder required</v>
      </c>
      <c r="P782" t="str">
        <f>IF(Table1[[#This Row],[Stock_Quantity]]=0,"Out of stock","Available")</f>
        <v>Available</v>
      </c>
    </row>
    <row r="783" spans="1:16" x14ac:dyDescent="0.3">
      <c r="A783" t="s">
        <v>2033</v>
      </c>
      <c r="B783" t="s">
        <v>385</v>
      </c>
      <c r="C783" t="s">
        <v>13</v>
      </c>
      <c r="D783" t="s">
        <v>470</v>
      </c>
      <c r="E783">
        <v>74</v>
      </c>
      <c r="F783">
        <v>22</v>
      </c>
      <c r="G783">
        <v>91</v>
      </c>
      <c r="H783" s="1">
        <v>9.5</v>
      </c>
      <c r="I783" s="2">
        <v>45679</v>
      </c>
      <c r="J783" t="s">
        <v>2034</v>
      </c>
      <c r="K783">
        <v>24</v>
      </c>
      <c r="L783" t="str">
        <f>IF(Table1[[#This Row],[Sales_Volume]]&gt;Table1[[#This Row],[Stock_Quantity]],"Pending","Fulfilled")</f>
        <v>Fulfilled</v>
      </c>
      <c r="M783">
        <v>3</v>
      </c>
      <c r="N783">
        <v>12</v>
      </c>
      <c r="O783" t="str">
        <f>IF(Table1[[#This Row],[Stock_Quantity]]&lt;=Table1[[#This Row],[Reorder_Level]],"Reoeder required","Sufficient")</f>
        <v>Sufficient</v>
      </c>
      <c r="P783" t="str">
        <f>IF(Table1[[#This Row],[Stock_Quantity]]=0,"Out of stock","Available")</f>
        <v>Available</v>
      </c>
    </row>
    <row r="784" spans="1:16" x14ac:dyDescent="0.3">
      <c r="A784" t="s">
        <v>2035</v>
      </c>
      <c r="B784" t="s">
        <v>951</v>
      </c>
      <c r="C784" t="s">
        <v>31</v>
      </c>
      <c r="D784" t="s">
        <v>57</v>
      </c>
      <c r="E784">
        <v>11</v>
      </c>
      <c r="F784">
        <v>10</v>
      </c>
      <c r="G784">
        <v>60</v>
      </c>
      <c r="H784" s="1">
        <v>2.5</v>
      </c>
      <c r="I784" s="2">
        <v>45418</v>
      </c>
      <c r="J784" t="s">
        <v>2036</v>
      </c>
      <c r="K784">
        <v>93</v>
      </c>
      <c r="L784" t="str">
        <f>IF(Table1[[#This Row],[Sales_Volume]]&gt;Table1[[#This Row],[Stock_Quantity]],"Pending","Fulfilled")</f>
        <v>Pending</v>
      </c>
      <c r="M784">
        <v>4</v>
      </c>
      <c r="N784">
        <v>53</v>
      </c>
      <c r="O784" t="str">
        <f>IF(Table1[[#This Row],[Stock_Quantity]]&lt;=Table1[[#This Row],[Reorder_Level]],"Reoeder required","Sufficient")</f>
        <v>Sufficient</v>
      </c>
      <c r="P784" t="str">
        <f>IF(Table1[[#This Row],[Stock_Quantity]]=0,"Out of stock","Available")</f>
        <v>Available</v>
      </c>
    </row>
    <row r="785" spans="1:16" x14ac:dyDescent="0.3">
      <c r="A785" t="s">
        <v>2037</v>
      </c>
      <c r="B785" t="s">
        <v>279</v>
      </c>
      <c r="C785" t="s">
        <v>45</v>
      </c>
      <c r="D785" t="s">
        <v>2038</v>
      </c>
      <c r="E785">
        <v>85</v>
      </c>
      <c r="F785">
        <v>15</v>
      </c>
      <c r="G785">
        <v>30</v>
      </c>
      <c r="H785" s="1">
        <v>4</v>
      </c>
      <c r="I785" s="2">
        <v>45590</v>
      </c>
      <c r="J785" t="s">
        <v>2039</v>
      </c>
      <c r="K785">
        <v>95</v>
      </c>
      <c r="L785" t="str">
        <f>IF(Table1[[#This Row],[Sales_Volume]]&gt;Table1[[#This Row],[Stock_Quantity]],"Pending","Fulfilled")</f>
        <v>Pending</v>
      </c>
      <c r="M785">
        <v>4</v>
      </c>
      <c r="N785">
        <v>63</v>
      </c>
      <c r="O785" t="str">
        <f>IF(Table1[[#This Row],[Stock_Quantity]]&lt;=Table1[[#This Row],[Reorder_Level]],"Reoeder required","Sufficient")</f>
        <v>Sufficient</v>
      </c>
      <c r="P785" t="str">
        <f>IF(Table1[[#This Row],[Stock_Quantity]]=0,"Out of stock","Available")</f>
        <v>Available</v>
      </c>
    </row>
    <row r="786" spans="1:16" x14ac:dyDescent="0.3">
      <c r="A786" t="s">
        <v>2040</v>
      </c>
      <c r="B786" t="s">
        <v>455</v>
      </c>
      <c r="C786" t="s">
        <v>31</v>
      </c>
      <c r="D786" t="s">
        <v>205</v>
      </c>
      <c r="E786">
        <v>57</v>
      </c>
      <c r="F786">
        <v>43</v>
      </c>
      <c r="G786">
        <v>46</v>
      </c>
      <c r="H786" s="1">
        <v>2.5</v>
      </c>
      <c r="I786" s="2">
        <v>45627</v>
      </c>
      <c r="J786" t="s">
        <v>2041</v>
      </c>
      <c r="K786">
        <v>87</v>
      </c>
      <c r="L786" t="str">
        <f>IF(Table1[[#This Row],[Sales_Volume]]&gt;Table1[[#This Row],[Stock_Quantity]],"Pending","Fulfilled")</f>
        <v>Pending</v>
      </c>
      <c r="M786">
        <v>7</v>
      </c>
      <c r="N786">
        <v>88</v>
      </c>
      <c r="O786" t="str">
        <f>IF(Table1[[#This Row],[Stock_Quantity]]&lt;=Table1[[#This Row],[Reorder_Level]],"Reoeder required","Sufficient")</f>
        <v>Sufficient</v>
      </c>
      <c r="P786" t="str">
        <f>IF(Table1[[#This Row],[Stock_Quantity]]=0,"Out of stock","Available")</f>
        <v>Available</v>
      </c>
    </row>
    <row r="787" spans="1:16" x14ac:dyDescent="0.3">
      <c r="A787" t="s">
        <v>2042</v>
      </c>
      <c r="B787" t="s">
        <v>669</v>
      </c>
      <c r="C787" t="s">
        <v>31</v>
      </c>
      <c r="D787" t="s">
        <v>902</v>
      </c>
      <c r="E787">
        <v>75</v>
      </c>
      <c r="F787">
        <v>56</v>
      </c>
      <c r="G787">
        <v>57</v>
      </c>
      <c r="H787" s="1">
        <v>1.9</v>
      </c>
      <c r="I787" s="2">
        <v>45590</v>
      </c>
      <c r="J787" t="s">
        <v>2043</v>
      </c>
      <c r="K787">
        <v>63</v>
      </c>
      <c r="L787" t="str">
        <f>IF(Table1[[#This Row],[Sales_Volume]]&gt;Table1[[#This Row],[Stock_Quantity]],"Pending","Fulfilled")</f>
        <v>Fulfilled</v>
      </c>
      <c r="M787">
        <v>1</v>
      </c>
      <c r="N787">
        <v>64</v>
      </c>
      <c r="O787" t="str">
        <f>IF(Table1[[#This Row],[Stock_Quantity]]&lt;=Table1[[#This Row],[Reorder_Level]],"Reoeder required","Sufficient")</f>
        <v>Sufficient</v>
      </c>
      <c r="P787" t="str">
        <f>IF(Table1[[#This Row],[Stock_Quantity]]=0,"Out of stock","Available")</f>
        <v>Available</v>
      </c>
    </row>
    <row r="788" spans="1:16" x14ac:dyDescent="0.3">
      <c r="A788" t="s">
        <v>2044</v>
      </c>
      <c r="B788" t="s">
        <v>556</v>
      </c>
      <c r="C788" t="s">
        <v>45</v>
      </c>
      <c r="D788" t="s">
        <v>208</v>
      </c>
      <c r="E788">
        <v>63</v>
      </c>
      <c r="F788">
        <v>7</v>
      </c>
      <c r="G788">
        <v>23</v>
      </c>
      <c r="H788" s="1">
        <v>2.35</v>
      </c>
      <c r="I788" s="2">
        <v>45618</v>
      </c>
      <c r="J788" t="s">
        <v>2045</v>
      </c>
      <c r="K788">
        <v>78</v>
      </c>
      <c r="L788" t="str">
        <f>IF(Table1[[#This Row],[Sales_Volume]]&gt;Table1[[#This Row],[Stock_Quantity]],"Pending","Fulfilled")</f>
        <v>Pending</v>
      </c>
      <c r="M788">
        <v>2</v>
      </c>
      <c r="N788">
        <v>100</v>
      </c>
      <c r="O788" t="str">
        <f>IF(Table1[[#This Row],[Stock_Quantity]]&lt;=Table1[[#This Row],[Reorder_Level]],"Reoeder required","Sufficient")</f>
        <v>Sufficient</v>
      </c>
      <c r="P788" t="str">
        <f>IF(Table1[[#This Row],[Stock_Quantity]]=0,"Out of stock","Available")</f>
        <v>Available</v>
      </c>
    </row>
    <row r="789" spans="1:16" x14ac:dyDescent="0.3">
      <c r="A789" t="s">
        <v>2046</v>
      </c>
      <c r="B789" t="s">
        <v>258</v>
      </c>
      <c r="C789" t="s">
        <v>18</v>
      </c>
      <c r="D789" t="s">
        <v>2047</v>
      </c>
      <c r="E789">
        <v>35</v>
      </c>
      <c r="F789">
        <v>20</v>
      </c>
      <c r="G789">
        <v>42</v>
      </c>
      <c r="H789" s="1">
        <v>25.25</v>
      </c>
      <c r="I789" s="2">
        <v>45509</v>
      </c>
      <c r="J789" t="s">
        <v>2048</v>
      </c>
      <c r="K789">
        <v>53</v>
      </c>
      <c r="L789" t="str">
        <f>IF(Table1[[#This Row],[Sales_Volume]]&gt;Table1[[#This Row],[Stock_Quantity]],"Pending","Fulfilled")</f>
        <v>Pending</v>
      </c>
      <c r="M789">
        <v>7</v>
      </c>
      <c r="N789">
        <v>56</v>
      </c>
      <c r="O789" t="str">
        <f>IF(Table1[[#This Row],[Stock_Quantity]]&lt;=Table1[[#This Row],[Reorder_Level]],"Reoeder required","Sufficient")</f>
        <v>Sufficient</v>
      </c>
      <c r="P789" t="str">
        <f>IF(Table1[[#This Row],[Stock_Quantity]]=0,"Out of stock","Available")</f>
        <v>Available</v>
      </c>
    </row>
    <row r="790" spans="1:16" x14ac:dyDescent="0.3">
      <c r="A790" t="s">
        <v>2049</v>
      </c>
      <c r="B790" t="s">
        <v>107</v>
      </c>
      <c r="C790" t="s">
        <v>31</v>
      </c>
      <c r="D790" t="s">
        <v>1515</v>
      </c>
      <c r="E790">
        <v>24</v>
      </c>
      <c r="F790">
        <v>32</v>
      </c>
      <c r="G790">
        <v>17</v>
      </c>
      <c r="H790" s="1">
        <v>1</v>
      </c>
      <c r="I790" s="2">
        <v>45460</v>
      </c>
      <c r="J790" t="s">
        <v>2050</v>
      </c>
      <c r="K790">
        <v>55</v>
      </c>
      <c r="L790" t="str">
        <f>IF(Table1[[#This Row],[Sales_Volume]]&gt;Table1[[#This Row],[Stock_Quantity]],"Pending","Fulfilled")</f>
        <v>Pending</v>
      </c>
      <c r="M790">
        <v>2</v>
      </c>
      <c r="N790">
        <v>72</v>
      </c>
      <c r="O790" t="str">
        <f>IF(Table1[[#This Row],[Stock_Quantity]]&lt;=Table1[[#This Row],[Reorder_Level]],"Reoeder required","Sufficient")</f>
        <v>Reoeder required</v>
      </c>
      <c r="P790" t="str">
        <f>IF(Table1[[#This Row],[Stock_Quantity]]=0,"Out of stock","Available")</f>
        <v>Available</v>
      </c>
    </row>
    <row r="791" spans="1:16" x14ac:dyDescent="0.3">
      <c r="A791" t="s">
        <v>2051</v>
      </c>
      <c r="B791" t="s">
        <v>359</v>
      </c>
      <c r="C791" t="s">
        <v>13</v>
      </c>
      <c r="D791" t="s">
        <v>1910</v>
      </c>
      <c r="E791">
        <v>53</v>
      </c>
      <c r="F791">
        <v>26</v>
      </c>
      <c r="G791">
        <v>3</v>
      </c>
      <c r="H791" s="1">
        <v>4.75</v>
      </c>
      <c r="I791" s="2">
        <v>45477</v>
      </c>
      <c r="J791" t="s">
        <v>2052</v>
      </c>
      <c r="K791">
        <v>100</v>
      </c>
      <c r="L791" t="str">
        <f>IF(Table1[[#This Row],[Sales_Volume]]&gt;Table1[[#This Row],[Stock_Quantity]],"Pending","Fulfilled")</f>
        <v>Pending</v>
      </c>
      <c r="M791">
        <v>8</v>
      </c>
      <c r="N791">
        <v>94</v>
      </c>
      <c r="O791" t="str">
        <f>IF(Table1[[#This Row],[Stock_Quantity]]&lt;=Table1[[#This Row],[Reorder_Level]],"Reoeder required","Sufficient")</f>
        <v>Sufficient</v>
      </c>
      <c r="P791" t="str">
        <f>IF(Table1[[#This Row],[Stock_Quantity]]=0,"Out of stock","Available")</f>
        <v>Available</v>
      </c>
    </row>
    <row r="792" spans="1:16" x14ac:dyDescent="0.3">
      <c r="A792" t="s">
        <v>2053</v>
      </c>
      <c r="B792" t="s">
        <v>305</v>
      </c>
      <c r="C792" t="s">
        <v>65</v>
      </c>
      <c r="D792" t="s">
        <v>850</v>
      </c>
      <c r="E792">
        <v>74</v>
      </c>
      <c r="F792">
        <v>81</v>
      </c>
      <c r="G792">
        <v>41</v>
      </c>
      <c r="H792" s="1">
        <v>6</v>
      </c>
      <c r="I792" s="2">
        <v>45414</v>
      </c>
      <c r="J792" t="s">
        <v>2054</v>
      </c>
      <c r="K792">
        <v>51</v>
      </c>
      <c r="L792" t="str">
        <f>IF(Table1[[#This Row],[Sales_Volume]]&gt;Table1[[#This Row],[Stock_Quantity]],"Pending","Fulfilled")</f>
        <v>Fulfilled</v>
      </c>
      <c r="M792">
        <v>4</v>
      </c>
      <c r="N792">
        <v>67</v>
      </c>
      <c r="O792" t="str">
        <f>IF(Table1[[#This Row],[Stock_Quantity]]&lt;=Table1[[#This Row],[Reorder_Level]],"Reoeder required","Sufficient")</f>
        <v>Reoeder required</v>
      </c>
      <c r="P792" t="str">
        <f>IF(Table1[[#This Row],[Stock_Quantity]]=0,"Out of stock","Available")</f>
        <v>Available</v>
      </c>
    </row>
    <row r="793" spans="1:16" x14ac:dyDescent="0.3">
      <c r="A793" t="s">
        <v>2055</v>
      </c>
      <c r="B793" t="s">
        <v>861</v>
      </c>
      <c r="C793" t="s">
        <v>13</v>
      </c>
      <c r="D793" t="s">
        <v>727</v>
      </c>
      <c r="E793">
        <v>79</v>
      </c>
      <c r="F793">
        <v>38</v>
      </c>
      <c r="G793">
        <v>67</v>
      </c>
      <c r="H793" s="1">
        <v>2.5</v>
      </c>
      <c r="I793" s="2">
        <v>45573</v>
      </c>
      <c r="J793" t="s">
        <v>2056</v>
      </c>
      <c r="K793">
        <v>43</v>
      </c>
      <c r="L793" t="str">
        <f>IF(Table1[[#This Row],[Sales_Volume]]&gt;Table1[[#This Row],[Stock_Quantity]],"Pending","Fulfilled")</f>
        <v>Fulfilled</v>
      </c>
      <c r="M793">
        <v>7</v>
      </c>
      <c r="N793">
        <v>93</v>
      </c>
      <c r="O793" t="str">
        <f>IF(Table1[[#This Row],[Stock_Quantity]]&lt;=Table1[[#This Row],[Reorder_Level]],"Reoeder required","Sufficient")</f>
        <v>Sufficient</v>
      </c>
      <c r="P793" t="str">
        <f>IF(Table1[[#This Row],[Stock_Quantity]]=0,"Out of stock","Available")</f>
        <v>Available</v>
      </c>
    </row>
    <row r="794" spans="1:16" x14ac:dyDescent="0.3">
      <c r="A794" t="s">
        <v>2057</v>
      </c>
      <c r="B794" t="s">
        <v>80</v>
      </c>
      <c r="C794" t="s">
        <v>13</v>
      </c>
      <c r="D794" t="s">
        <v>265</v>
      </c>
      <c r="E794">
        <v>54</v>
      </c>
      <c r="F794">
        <v>78</v>
      </c>
      <c r="G794">
        <v>81</v>
      </c>
      <c r="H794" s="1">
        <v>1.5</v>
      </c>
      <c r="I794" s="2">
        <v>45619</v>
      </c>
      <c r="J794" t="s">
        <v>2058</v>
      </c>
      <c r="K794">
        <v>41</v>
      </c>
      <c r="L794" t="str">
        <f>IF(Table1[[#This Row],[Sales_Volume]]&gt;Table1[[#This Row],[Stock_Quantity]],"Pending","Fulfilled")</f>
        <v>Fulfilled</v>
      </c>
      <c r="M794">
        <v>8</v>
      </c>
      <c r="N794">
        <v>63</v>
      </c>
      <c r="O794" t="str">
        <f>IF(Table1[[#This Row],[Stock_Quantity]]&lt;=Table1[[#This Row],[Reorder_Level]],"Reoeder required","Sufficient")</f>
        <v>Reoeder required</v>
      </c>
      <c r="P794" t="str">
        <f>IF(Table1[[#This Row],[Stock_Quantity]]=0,"Out of stock","Available")</f>
        <v>Available</v>
      </c>
    </row>
    <row r="795" spans="1:16" x14ac:dyDescent="0.3">
      <c r="A795" t="s">
        <v>2059</v>
      </c>
      <c r="B795" t="s">
        <v>350</v>
      </c>
      <c r="C795" t="s">
        <v>40</v>
      </c>
      <c r="D795" t="s">
        <v>2060</v>
      </c>
      <c r="E795">
        <v>44</v>
      </c>
      <c r="F795">
        <v>83</v>
      </c>
      <c r="G795">
        <v>78</v>
      </c>
      <c r="H795" s="1">
        <v>1.8</v>
      </c>
      <c r="I795" s="2">
        <v>45664</v>
      </c>
      <c r="J795" t="s">
        <v>2061</v>
      </c>
      <c r="K795">
        <v>46</v>
      </c>
      <c r="L795" t="str">
        <f>IF(Table1[[#This Row],[Sales_Volume]]&gt;Table1[[#This Row],[Stock_Quantity]],"Pending","Fulfilled")</f>
        <v>Pending</v>
      </c>
      <c r="M795">
        <v>4</v>
      </c>
      <c r="N795">
        <v>4</v>
      </c>
      <c r="O795" t="str">
        <f>IF(Table1[[#This Row],[Stock_Quantity]]&lt;=Table1[[#This Row],[Reorder_Level]],"Reoeder required","Sufficient")</f>
        <v>Reoeder required</v>
      </c>
      <c r="P795" t="str">
        <f>IF(Table1[[#This Row],[Stock_Quantity]]=0,"Out of stock","Available")</f>
        <v>Available</v>
      </c>
    </row>
    <row r="796" spans="1:16" x14ac:dyDescent="0.3">
      <c r="A796" t="s">
        <v>2062</v>
      </c>
      <c r="B796" t="s">
        <v>385</v>
      </c>
      <c r="C796" t="s">
        <v>13</v>
      </c>
      <c r="D796" t="s">
        <v>1071</v>
      </c>
      <c r="E796">
        <v>77</v>
      </c>
      <c r="F796">
        <v>19</v>
      </c>
      <c r="G796">
        <v>31</v>
      </c>
      <c r="H796" s="1">
        <v>9.5</v>
      </c>
      <c r="I796" s="2">
        <v>45680</v>
      </c>
      <c r="J796" t="s">
        <v>2063</v>
      </c>
      <c r="K796">
        <v>27</v>
      </c>
      <c r="L796" t="str">
        <f>IF(Table1[[#This Row],[Sales_Volume]]&gt;Table1[[#This Row],[Stock_Quantity]],"Pending","Fulfilled")</f>
        <v>Fulfilled</v>
      </c>
      <c r="M796">
        <v>7</v>
      </c>
      <c r="N796">
        <v>25</v>
      </c>
      <c r="O796" t="str">
        <f>IF(Table1[[#This Row],[Stock_Quantity]]&lt;=Table1[[#This Row],[Reorder_Level]],"Reoeder required","Sufficient")</f>
        <v>Sufficient</v>
      </c>
      <c r="P796" t="str">
        <f>IF(Table1[[#This Row],[Stock_Quantity]]=0,"Out of stock","Available")</f>
        <v>Available</v>
      </c>
    </row>
    <row r="797" spans="1:16" x14ac:dyDescent="0.3">
      <c r="A797" t="s">
        <v>2064</v>
      </c>
      <c r="B797" t="s">
        <v>889</v>
      </c>
      <c r="C797" t="s">
        <v>31</v>
      </c>
      <c r="D797" t="s">
        <v>847</v>
      </c>
      <c r="E797">
        <v>42</v>
      </c>
      <c r="F797">
        <v>61</v>
      </c>
      <c r="G797">
        <v>52</v>
      </c>
      <c r="H797" s="1">
        <v>5</v>
      </c>
      <c r="I797" s="2">
        <v>45688</v>
      </c>
      <c r="J797" t="s">
        <v>2065</v>
      </c>
      <c r="K797">
        <v>86</v>
      </c>
      <c r="L797" t="str">
        <f>IF(Table1[[#This Row],[Sales_Volume]]&gt;Table1[[#This Row],[Stock_Quantity]],"Pending","Fulfilled")</f>
        <v>Pending</v>
      </c>
      <c r="M797">
        <v>4</v>
      </c>
      <c r="N797">
        <v>99</v>
      </c>
      <c r="O797" t="str">
        <f>IF(Table1[[#This Row],[Stock_Quantity]]&lt;=Table1[[#This Row],[Reorder_Level]],"Reoeder required","Sufficient")</f>
        <v>Reoeder required</v>
      </c>
      <c r="P797" t="str">
        <f>IF(Table1[[#This Row],[Stock_Quantity]]=0,"Out of stock","Available")</f>
        <v>Available</v>
      </c>
    </row>
    <row r="798" spans="1:16" x14ac:dyDescent="0.3">
      <c r="A798" t="s">
        <v>2066</v>
      </c>
      <c r="B798" t="s">
        <v>1137</v>
      </c>
      <c r="C798" t="s">
        <v>31</v>
      </c>
      <c r="D798" t="s">
        <v>713</v>
      </c>
      <c r="E798">
        <v>44</v>
      </c>
      <c r="F798">
        <v>77</v>
      </c>
      <c r="G798">
        <v>45</v>
      </c>
      <c r="H798" s="1">
        <v>2</v>
      </c>
      <c r="I798" s="2">
        <v>45465</v>
      </c>
      <c r="J798" t="s">
        <v>2067</v>
      </c>
      <c r="K798">
        <v>89</v>
      </c>
      <c r="L798" t="str">
        <f>IF(Table1[[#This Row],[Sales_Volume]]&gt;Table1[[#This Row],[Stock_Quantity]],"Pending","Fulfilled")</f>
        <v>Pending</v>
      </c>
      <c r="M798">
        <v>7</v>
      </c>
      <c r="N798">
        <v>64</v>
      </c>
      <c r="O798" t="str">
        <f>IF(Table1[[#This Row],[Stock_Quantity]]&lt;=Table1[[#This Row],[Reorder_Level]],"Reoeder required","Sufficient")</f>
        <v>Reoeder required</v>
      </c>
      <c r="P798" t="str">
        <f>IF(Table1[[#This Row],[Stock_Quantity]]=0,"Out of stock","Available")</f>
        <v>Available</v>
      </c>
    </row>
    <row r="799" spans="1:16" x14ac:dyDescent="0.3">
      <c r="A799" t="s">
        <v>2068</v>
      </c>
      <c r="B799" t="s">
        <v>494</v>
      </c>
      <c r="C799" t="s">
        <v>45</v>
      </c>
      <c r="D799" t="s">
        <v>269</v>
      </c>
      <c r="E799">
        <v>81</v>
      </c>
      <c r="F799">
        <v>76</v>
      </c>
      <c r="G799">
        <v>10</v>
      </c>
      <c r="H799" s="1">
        <v>4</v>
      </c>
      <c r="I799" s="2">
        <v>45439</v>
      </c>
      <c r="J799" t="s">
        <v>2069</v>
      </c>
      <c r="K799">
        <v>68</v>
      </c>
      <c r="L799" t="str">
        <f>IF(Table1[[#This Row],[Sales_Volume]]&gt;Table1[[#This Row],[Stock_Quantity]],"Pending","Fulfilled")</f>
        <v>Fulfilled</v>
      </c>
      <c r="M799">
        <v>3</v>
      </c>
      <c r="N799">
        <v>100</v>
      </c>
      <c r="O799" t="str">
        <f>IF(Table1[[#This Row],[Stock_Quantity]]&lt;=Table1[[#This Row],[Reorder_Level]],"Reoeder required","Sufficient")</f>
        <v>Sufficient</v>
      </c>
      <c r="P799" t="str">
        <f>IF(Table1[[#This Row],[Stock_Quantity]]=0,"Out of stock","Available")</f>
        <v>Available</v>
      </c>
    </row>
    <row r="800" spans="1:16" x14ac:dyDescent="0.3">
      <c r="A800" t="s">
        <v>2070</v>
      </c>
      <c r="B800" t="s">
        <v>22</v>
      </c>
      <c r="C800" t="s">
        <v>13</v>
      </c>
      <c r="D800" t="s">
        <v>622</v>
      </c>
      <c r="E800">
        <v>92</v>
      </c>
      <c r="F800">
        <v>48</v>
      </c>
      <c r="G800">
        <v>22</v>
      </c>
      <c r="H800" s="1">
        <v>6.25</v>
      </c>
      <c r="I800" s="2">
        <v>45627</v>
      </c>
      <c r="J800" t="s">
        <v>2071</v>
      </c>
      <c r="K800">
        <v>38</v>
      </c>
      <c r="L800" t="str">
        <f>IF(Table1[[#This Row],[Sales_Volume]]&gt;Table1[[#This Row],[Stock_Quantity]],"Pending","Fulfilled")</f>
        <v>Fulfilled</v>
      </c>
      <c r="M800">
        <v>7</v>
      </c>
      <c r="N800">
        <v>61</v>
      </c>
      <c r="O800" t="str">
        <f>IF(Table1[[#This Row],[Stock_Quantity]]&lt;=Table1[[#This Row],[Reorder_Level]],"Reoeder required","Sufficient")</f>
        <v>Sufficient</v>
      </c>
      <c r="P800" t="str">
        <f>IF(Table1[[#This Row],[Stock_Quantity]]=0,"Out of stock","Available")</f>
        <v>Available</v>
      </c>
    </row>
    <row r="801" spans="1:16" x14ac:dyDescent="0.3">
      <c r="A801" t="s">
        <v>2072</v>
      </c>
      <c r="B801" t="s">
        <v>1101</v>
      </c>
      <c r="C801" t="s">
        <v>99</v>
      </c>
      <c r="D801" t="s">
        <v>1279</v>
      </c>
      <c r="E801">
        <v>78</v>
      </c>
      <c r="F801">
        <v>68</v>
      </c>
      <c r="G801">
        <v>86</v>
      </c>
      <c r="H801" s="1">
        <v>15</v>
      </c>
      <c r="I801" s="2">
        <v>45371</v>
      </c>
      <c r="J801" t="s">
        <v>2073</v>
      </c>
      <c r="K801">
        <v>47</v>
      </c>
      <c r="L801" t="str">
        <f>IF(Table1[[#This Row],[Sales_Volume]]&gt;Table1[[#This Row],[Stock_Quantity]],"Pending","Fulfilled")</f>
        <v>Fulfilled</v>
      </c>
      <c r="M801">
        <v>2</v>
      </c>
      <c r="N801">
        <v>95</v>
      </c>
      <c r="O801" t="str">
        <f>IF(Table1[[#This Row],[Stock_Quantity]]&lt;=Table1[[#This Row],[Reorder_Level]],"Reoeder required","Sufficient")</f>
        <v>Sufficient</v>
      </c>
      <c r="P801" t="str">
        <f>IF(Table1[[#This Row],[Stock_Quantity]]=0,"Out of stock","Available")</f>
        <v>Available</v>
      </c>
    </row>
    <row r="802" spans="1:16" x14ac:dyDescent="0.3">
      <c r="A802" t="s">
        <v>2074</v>
      </c>
      <c r="B802" t="s">
        <v>279</v>
      </c>
      <c r="C802" t="s">
        <v>45</v>
      </c>
      <c r="D802" t="s">
        <v>713</v>
      </c>
      <c r="E802">
        <v>85</v>
      </c>
      <c r="F802">
        <v>66</v>
      </c>
      <c r="G802">
        <v>85</v>
      </c>
      <c r="H802" s="1">
        <v>4.2</v>
      </c>
      <c r="I802" s="2">
        <v>45596</v>
      </c>
      <c r="J802" t="s">
        <v>2075</v>
      </c>
      <c r="K802">
        <v>65</v>
      </c>
      <c r="L802" t="str">
        <f>IF(Table1[[#This Row],[Sales_Volume]]&gt;Table1[[#This Row],[Stock_Quantity]],"Pending","Fulfilled")</f>
        <v>Fulfilled</v>
      </c>
      <c r="M802">
        <v>4</v>
      </c>
      <c r="N802">
        <v>58</v>
      </c>
      <c r="O802" t="str">
        <f>IF(Table1[[#This Row],[Stock_Quantity]]&lt;=Table1[[#This Row],[Reorder_Level]],"Reoeder required","Sufficient")</f>
        <v>Sufficient</v>
      </c>
      <c r="P802" t="str">
        <f>IF(Table1[[#This Row],[Stock_Quantity]]=0,"Out of stock","Available")</f>
        <v>Available</v>
      </c>
    </row>
    <row r="803" spans="1:16" x14ac:dyDescent="0.3">
      <c r="A803" t="s">
        <v>2076</v>
      </c>
      <c r="B803" t="s">
        <v>418</v>
      </c>
      <c r="C803" t="s">
        <v>31</v>
      </c>
      <c r="D803" t="s">
        <v>1905</v>
      </c>
      <c r="E803">
        <v>65</v>
      </c>
      <c r="F803">
        <v>69</v>
      </c>
      <c r="G803">
        <v>4</v>
      </c>
      <c r="H803" s="1">
        <v>6</v>
      </c>
      <c r="I803" s="2">
        <v>45458</v>
      </c>
      <c r="J803" t="s">
        <v>2077</v>
      </c>
      <c r="K803">
        <v>80</v>
      </c>
      <c r="L803" t="str">
        <f>IF(Table1[[#This Row],[Sales_Volume]]&gt;Table1[[#This Row],[Stock_Quantity]],"Pending","Fulfilled")</f>
        <v>Pending</v>
      </c>
      <c r="M803">
        <v>7</v>
      </c>
      <c r="N803">
        <v>26</v>
      </c>
      <c r="O803" t="str">
        <f>IF(Table1[[#This Row],[Stock_Quantity]]&lt;=Table1[[#This Row],[Reorder_Level]],"Reoeder required","Sufficient")</f>
        <v>Reoeder required</v>
      </c>
      <c r="P803" t="str">
        <f>IF(Table1[[#This Row],[Stock_Quantity]]=0,"Out of stock","Available")</f>
        <v>Available</v>
      </c>
    </row>
    <row r="804" spans="1:16" x14ac:dyDescent="0.3">
      <c r="A804" t="s">
        <v>2078</v>
      </c>
      <c r="B804" t="s">
        <v>142</v>
      </c>
      <c r="C804" t="s">
        <v>40</v>
      </c>
      <c r="D804" t="s">
        <v>1090</v>
      </c>
      <c r="E804">
        <v>36</v>
      </c>
      <c r="F804">
        <v>3</v>
      </c>
      <c r="G804">
        <v>54</v>
      </c>
      <c r="H804" s="1">
        <v>6</v>
      </c>
      <c r="I804" s="2">
        <v>45456</v>
      </c>
      <c r="J804" t="s">
        <v>2079</v>
      </c>
      <c r="K804">
        <v>74</v>
      </c>
      <c r="L804" t="str">
        <f>IF(Table1[[#This Row],[Sales_Volume]]&gt;Table1[[#This Row],[Stock_Quantity]],"Pending","Fulfilled")</f>
        <v>Pending</v>
      </c>
      <c r="M804">
        <v>4</v>
      </c>
      <c r="N804">
        <v>8</v>
      </c>
      <c r="O804" t="str">
        <f>IF(Table1[[#This Row],[Stock_Quantity]]&lt;=Table1[[#This Row],[Reorder_Level]],"Reoeder required","Sufficient")</f>
        <v>Sufficient</v>
      </c>
      <c r="P804" t="str">
        <f>IF(Table1[[#This Row],[Stock_Quantity]]=0,"Out of stock","Available")</f>
        <v>Available</v>
      </c>
    </row>
    <row r="805" spans="1:16" x14ac:dyDescent="0.3">
      <c r="A805" t="s">
        <v>2080</v>
      </c>
      <c r="B805" t="s">
        <v>299</v>
      </c>
      <c r="C805" t="s">
        <v>31</v>
      </c>
      <c r="D805" t="s">
        <v>2081</v>
      </c>
      <c r="E805">
        <v>26</v>
      </c>
      <c r="F805">
        <v>63</v>
      </c>
      <c r="G805">
        <v>88</v>
      </c>
      <c r="H805" s="1">
        <v>1.2</v>
      </c>
      <c r="I805" s="2">
        <v>45351</v>
      </c>
      <c r="J805" t="s">
        <v>2082</v>
      </c>
      <c r="K805">
        <v>84</v>
      </c>
      <c r="L805" t="str">
        <f>IF(Table1[[#This Row],[Sales_Volume]]&gt;Table1[[#This Row],[Stock_Quantity]],"Pending","Fulfilled")</f>
        <v>Pending</v>
      </c>
      <c r="M805">
        <v>1</v>
      </c>
      <c r="N805">
        <v>70</v>
      </c>
      <c r="O805" t="str">
        <f>IF(Table1[[#This Row],[Stock_Quantity]]&lt;=Table1[[#This Row],[Reorder_Level]],"Reoeder required","Sufficient")</f>
        <v>Reoeder required</v>
      </c>
      <c r="P805" t="str">
        <f>IF(Table1[[#This Row],[Stock_Quantity]]=0,"Out of stock","Available")</f>
        <v>Available</v>
      </c>
    </row>
    <row r="806" spans="1:16" x14ac:dyDescent="0.3">
      <c r="A806" t="s">
        <v>2083</v>
      </c>
      <c r="B806" t="s">
        <v>657</v>
      </c>
      <c r="C806" t="s">
        <v>40</v>
      </c>
      <c r="D806" t="s">
        <v>958</v>
      </c>
      <c r="E806">
        <v>39</v>
      </c>
      <c r="F806">
        <v>13</v>
      </c>
      <c r="G806">
        <v>13</v>
      </c>
      <c r="H806" s="1">
        <v>2.5</v>
      </c>
      <c r="I806" s="2">
        <v>45707</v>
      </c>
      <c r="J806" t="s">
        <v>2084</v>
      </c>
      <c r="K806">
        <v>84</v>
      </c>
      <c r="L806" t="str">
        <f>IF(Table1[[#This Row],[Sales_Volume]]&gt;Table1[[#This Row],[Stock_Quantity]],"Pending","Fulfilled")</f>
        <v>Pending</v>
      </c>
      <c r="M806">
        <v>4</v>
      </c>
      <c r="N806">
        <v>93</v>
      </c>
      <c r="O806" t="str">
        <f>IF(Table1[[#This Row],[Stock_Quantity]]&lt;=Table1[[#This Row],[Reorder_Level]],"Reoeder required","Sufficient")</f>
        <v>Sufficient</v>
      </c>
      <c r="P806" t="str">
        <f>IF(Table1[[#This Row],[Stock_Quantity]]=0,"Out of stock","Available")</f>
        <v>Available</v>
      </c>
    </row>
    <row r="807" spans="1:16" x14ac:dyDescent="0.3">
      <c r="A807" t="s">
        <v>2085</v>
      </c>
      <c r="B807" t="s">
        <v>60</v>
      </c>
      <c r="C807" t="s">
        <v>13</v>
      </c>
      <c r="D807" t="s">
        <v>1559</v>
      </c>
      <c r="E807">
        <v>39</v>
      </c>
      <c r="F807">
        <v>83</v>
      </c>
      <c r="G807">
        <v>21</v>
      </c>
      <c r="H807" s="1">
        <v>2</v>
      </c>
      <c r="I807" s="2">
        <v>45405</v>
      </c>
      <c r="J807" t="s">
        <v>2086</v>
      </c>
      <c r="K807">
        <v>73</v>
      </c>
      <c r="L807" t="str">
        <f>IF(Table1[[#This Row],[Sales_Volume]]&gt;Table1[[#This Row],[Stock_Quantity]],"Pending","Fulfilled")</f>
        <v>Pending</v>
      </c>
      <c r="M807">
        <v>3</v>
      </c>
      <c r="N807">
        <v>88</v>
      </c>
      <c r="O807" t="str">
        <f>IF(Table1[[#This Row],[Stock_Quantity]]&lt;=Table1[[#This Row],[Reorder_Level]],"Reoeder required","Sufficient")</f>
        <v>Reoeder required</v>
      </c>
      <c r="P807" t="str">
        <f>IF(Table1[[#This Row],[Stock_Quantity]]=0,"Out of stock","Available")</f>
        <v>Available</v>
      </c>
    </row>
    <row r="808" spans="1:16" x14ac:dyDescent="0.3">
      <c r="A808" t="s">
        <v>2087</v>
      </c>
      <c r="B808" t="s">
        <v>107</v>
      </c>
      <c r="C808" t="s">
        <v>31</v>
      </c>
      <c r="D808" t="s">
        <v>173</v>
      </c>
      <c r="E808">
        <v>83</v>
      </c>
      <c r="F808">
        <v>61</v>
      </c>
      <c r="G808">
        <v>4</v>
      </c>
      <c r="H808" s="1">
        <v>1</v>
      </c>
      <c r="I808" s="2">
        <v>45601</v>
      </c>
      <c r="J808" t="s">
        <v>2088</v>
      </c>
      <c r="K808">
        <v>35</v>
      </c>
      <c r="L808" t="str">
        <f>IF(Table1[[#This Row],[Sales_Volume]]&gt;Table1[[#This Row],[Stock_Quantity]],"Pending","Fulfilled")</f>
        <v>Fulfilled</v>
      </c>
      <c r="M808">
        <v>5</v>
      </c>
      <c r="N808">
        <v>7</v>
      </c>
      <c r="O808" t="str">
        <f>IF(Table1[[#This Row],[Stock_Quantity]]&lt;=Table1[[#This Row],[Reorder_Level]],"Reoeder required","Sufficient")</f>
        <v>Sufficient</v>
      </c>
      <c r="P808" t="str">
        <f>IF(Table1[[#This Row],[Stock_Quantity]]=0,"Out of stock","Available")</f>
        <v>Available</v>
      </c>
    </row>
    <row r="809" spans="1:16" x14ac:dyDescent="0.3">
      <c r="A809" t="s">
        <v>2089</v>
      </c>
      <c r="B809" t="s">
        <v>134</v>
      </c>
      <c r="C809" t="s">
        <v>31</v>
      </c>
      <c r="D809" t="s">
        <v>1586</v>
      </c>
      <c r="E809">
        <v>28</v>
      </c>
      <c r="F809">
        <v>5</v>
      </c>
      <c r="G809">
        <v>9</v>
      </c>
      <c r="H809" s="1">
        <v>1.8</v>
      </c>
      <c r="I809" s="2">
        <v>45673</v>
      </c>
      <c r="J809" t="s">
        <v>2090</v>
      </c>
      <c r="K809">
        <v>33</v>
      </c>
      <c r="L809" t="str">
        <f>IF(Table1[[#This Row],[Sales_Volume]]&gt;Table1[[#This Row],[Stock_Quantity]],"Pending","Fulfilled")</f>
        <v>Pending</v>
      </c>
      <c r="M809">
        <v>5</v>
      </c>
      <c r="N809">
        <v>9</v>
      </c>
      <c r="O809" t="str">
        <f>IF(Table1[[#This Row],[Stock_Quantity]]&lt;=Table1[[#This Row],[Reorder_Level]],"Reoeder required","Sufficient")</f>
        <v>Sufficient</v>
      </c>
      <c r="P809" t="str">
        <f>IF(Table1[[#This Row],[Stock_Quantity]]=0,"Out of stock","Available")</f>
        <v>Available</v>
      </c>
    </row>
    <row r="810" spans="1:16" x14ac:dyDescent="0.3">
      <c r="A810" t="s">
        <v>2091</v>
      </c>
      <c r="B810" t="s">
        <v>478</v>
      </c>
      <c r="C810" t="s">
        <v>99</v>
      </c>
      <c r="D810" t="s">
        <v>1090</v>
      </c>
      <c r="E810">
        <v>85</v>
      </c>
      <c r="F810">
        <v>17</v>
      </c>
      <c r="G810">
        <v>96</v>
      </c>
      <c r="H810" s="1">
        <v>18</v>
      </c>
      <c r="I810" s="2">
        <v>45475</v>
      </c>
      <c r="J810" t="s">
        <v>2092</v>
      </c>
      <c r="K810">
        <v>92</v>
      </c>
      <c r="L810" t="str">
        <f>IF(Table1[[#This Row],[Sales_Volume]]&gt;Table1[[#This Row],[Stock_Quantity]],"Pending","Fulfilled")</f>
        <v>Pending</v>
      </c>
      <c r="M810">
        <v>7</v>
      </c>
      <c r="N810">
        <v>34</v>
      </c>
      <c r="O810" t="str">
        <f>IF(Table1[[#This Row],[Stock_Quantity]]&lt;=Table1[[#This Row],[Reorder_Level]],"Reoeder required","Sufficient")</f>
        <v>Sufficient</v>
      </c>
      <c r="P810" t="str">
        <f>IF(Table1[[#This Row],[Stock_Quantity]]=0,"Out of stock","Available")</f>
        <v>Available</v>
      </c>
    </row>
    <row r="811" spans="1:16" x14ac:dyDescent="0.3">
      <c r="A811" t="s">
        <v>2093</v>
      </c>
      <c r="B811" t="s">
        <v>669</v>
      </c>
      <c r="C811" t="s">
        <v>31</v>
      </c>
      <c r="D811" t="s">
        <v>811</v>
      </c>
      <c r="E811">
        <v>76</v>
      </c>
      <c r="F811">
        <v>39</v>
      </c>
      <c r="G811">
        <v>15</v>
      </c>
      <c r="H811" s="1">
        <v>2</v>
      </c>
      <c r="I811" s="2">
        <v>45466</v>
      </c>
      <c r="J811" t="s">
        <v>2094</v>
      </c>
      <c r="K811">
        <v>77</v>
      </c>
      <c r="L811" t="str">
        <f>IF(Table1[[#This Row],[Sales_Volume]]&gt;Table1[[#This Row],[Stock_Quantity]],"Pending","Fulfilled")</f>
        <v>Pending</v>
      </c>
      <c r="M811">
        <v>8</v>
      </c>
      <c r="N811">
        <v>70</v>
      </c>
      <c r="O811" t="str">
        <f>IF(Table1[[#This Row],[Stock_Quantity]]&lt;=Table1[[#This Row],[Reorder_Level]],"Reoeder required","Sufficient")</f>
        <v>Sufficient</v>
      </c>
      <c r="P811" t="str">
        <f>IF(Table1[[#This Row],[Stock_Quantity]]=0,"Out of stock","Available")</f>
        <v>Available</v>
      </c>
    </row>
    <row r="812" spans="1:16" x14ac:dyDescent="0.3">
      <c r="A812" t="s">
        <v>2095</v>
      </c>
      <c r="B812" t="s">
        <v>951</v>
      </c>
      <c r="C812" t="s">
        <v>31</v>
      </c>
      <c r="D812" t="s">
        <v>1082</v>
      </c>
      <c r="E812">
        <v>100</v>
      </c>
      <c r="F812">
        <v>64</v>
      </c>
      <c r="G812">
        <v>62</v>
      </c>
      <c r="H812" s="1">
        <v>2.5</v>
      </c>
      <c r="I812" s="2">
        <v>45656</v>
      </c>
      <c r="J812" t="s">
        <v>2096</v>
      </c>
      <c r="K812">
        <v>84</v>
      </c>
      <c r="L812" t="str">
        <f>IF(Table1[[#This Row],[Sales_Volume]]&gt;Table1[[#This Row],[Stock_Quantity]],"Pending","Fulfilled")</f>
        <v>Fulfilled</v>
      </c>
      <c r="M812">
        <v>8</v>
      </c>
      <c r="N812">
        <v>44</v>
      </c>
      <c r="O812" t="str">
        <f>IF(Table1[[#This Row],[Stock_Quantity]]&lt;=Table1[[#This Row],[Reorder_Level]],"Reoeder required","Sufficient")</f>
        <v>Sufficient</v>
      </c>
      <c r="P812" t="str">
        <f>IF(Table1[[#This Row],[Stock_Quantity]]=0,"Out of stock","Available")</f>
        <v>Available</v>
      </c>
    </row>
    <row r="813" spans="1:16" x14ac:dyDescent="0.3">
      <c r="A813" t="s">
        <v>2097</v>
      </c>
      <c r="B813" t="s">
        <v>418</v>
      </c>
      <c r="C813" t="s">
        <v>31</v>
      </c>
      <c r="D813" t="s">
        <v>2098</v>
      </c>
      <c r="E813">
        <v>17</v>
      </c>
      <c r="F813">
        <v>45</v>
      </c>
      <c r="G813">
        <v>44</v>
      </c>
      <c r="H813" s="1">
        <v>6</v>
      </c>
      <c r="I813" s="2">
        <v>45385</v>
      </c>
      <c r="J813" t="s">
        <v>2099</v>
      </c>
      <c r="K813">
        <v>37</v>
      </c>
      <c r="L813" t="str">
        <f>IF(Table1[[#This Row],[Sales_Volume]]&gt;Table1[[#This Row],[Stock_Quantity]],"Pending","Fulfilled")</f>
        <v>Pending</v>
      </c>
      <c r="M813">
        <v>1</v>
      </c>
      <c r="N813">
        <v>16</v>
      </c>
      <c r="O813" t="str">
        <f>IF(Table1[[#This Row],[Stock_Quantity]]&lt;=Table1[[#This Row],[Reorder_Level]],"Reoeder required","Sufficient")</f>
        <v>Reoeder required</v>
      </c>
      <c r="P813" t="str">
        <f>IF(Table1[[#This Row],[Stock_Quantity]]=0,"Out of stock","Available")</f>
        <v>Available</v>
      </c>
    </row>
    <row r="814" spans="1:16" x14ac:dyDescent="0.3">
      <c r="A814" t="s">
        <v>2100</v>
      </c>
      <c r="B814" t="s">
        <v>610</v>
      </c>
      <c r="C814" t="s">
        <v>99</v>
      </c>
      <c r="D814" t="s">
        <v>642</v>
      </c>
      <c r="E814">
        <v>51</v>
      </c>
      <c r="F814">
        <v>35</v>
      </c>
      <c r="G814">
        <v>95</v>
      </c>
      <c r="H814" s="1">
        <v>10</v>
      </c>
      <c r="I814" s="2">
        <v>45420</v>
      </c>
      <c r="J814" t="s">
        <v>2101</v>
      </c>
      <c r="K814">
        <v>80</v>
      </c>
      <c r="L814" t="str">
        <f>IF(Table1[[#This Row],[Sales_Volume]]&gt;Table1[[#This Row],[Stock_Quantity]],"Pending","Fulfilled")</f>
        <v>Pending</v>
      </c>
      <c r="M814">
        <v>1</v>
      </c>
      <c r="N814">
        <v>89</v>
      </c>
      <c r="O814" t="str">
        <f>IF(Table1[[#This Row],[Stock_Quantity]]&lt;=Table1[[#This Row],[Reorder_Level]],"Reoeder required","Sufficient")</f>
        <v>Sufficient</v>
      </c>
      <c r="P814" t="str">
        <f>IF(Table1[[#This Row],[Stock_Quantity]]=0,"Out of stock","Available")</f>
        <v>Available</v>
      </c>
    </row>
    <row r="815" spans="1:16" x14ac:dyDescent="0.3">
      <c r="A815" t="s">
        <v>2102</v>
      </c>
      <c r="B815" t="s">
        <v>846</v>
      </c>
      <c r="C815" t="s">
        <v>31</v>
      </c>
      <c r="D815" t="s">
        <v>131</v>
      </c>
      <c r="E815">
        <v>54</v>
      </c>
      <c r="F815">
        <v>88</v>
      </c>
      <c r="G815">
        <v>43</v>
      </c>
      <c r="H815" s="1">
        <v>5.5</v>
      </c>
      <c r="I815" s="2">
        <v>45436</v>
      </c>
      <c r="J815" t="s">
        <v>2103</v>
      </c>
      <c r="K815">
        <v>81</v>
      </c>
      <c r="L815" t="str">
        <f>IF(Table1[[#This Row],[Sales_Volume]]&gt;Table1[[#This Row],[Stock_Quantity]],"Pending","Fulfilled")</f>
        <v>Pending</v>
      </c>
      <c r="M815">
        <v>6</v>
      </c>
      <c r="N815">
        <v>77</v>
      </c>
      <c r="O815" t="str">
        <f>IF(Table1[[#This Row],[Stock_Quantity]]&lt;=Table1[[#This Row],[Reorder_Level]],"Reoeder required","Sufficient")</f>
        <v>Reoeder required</v>
      </c>
      <c r="P815" t="str">
        <f>IF(Table1[[#This Row],[Stock_Quantity]]=0,"Out of stock","Available")</f>
        <v>Available</v>
      </c>
    </row>
    <row r="816" spans="1:16" x14ac:dyDescent="0.3">
      <c r="A816" t="s">
        <v>2104</v>
      </c>
      <c r="B816" t="s">
        <v>204</v>
      </c>
      <c r="C816" t="s">
        <v>65</v>
      </c>
      <c r="D816" t="s">
        <v>822</v>
      </c>
      <c r="E816">
        <v>94</v>
      </c>
      <c r="F816">
        <v>56</v>
      </c>
      <c r="G816">
        <v>80</v>
      </c>
      <c r="H816" s="1">
        <v>4</v>
      </c>
      <c r="I816" s="2">
        <v>45628</v>
      </c>
      <c r="J816" t="s">
        <v>2105</v>
      </c>
      <c r="K816">
        <v>47</v>
      </c>
      <c r="L816" t="str">
        <f>IF(Table1[[#This Row],[Sales_Volume]]&gt;Table1[[#This Row],[Stock_Quantity]],"Pending","Fulfilled")</f>
        <v>Fulfilled</v>
      </c>
      <c r="M816">
        <v>3</v>
      </c>
      <c r="N816">
        <v>96</v>
      </c>
      <c r="O816" t="str">
        <f>IF(Table1[[#This Row],[Stock_Quantity]]&lt;=Table1[[#This Row],[Reorder_Level]],"Reoeder required","Sufficient")</f>
        <v>Sufficient</v>
      </c>
      <c r="P816" t="str">
        <f>IF(Table1[[#This Row],[Stock_Quantity]]=0,"Out of stock","Available")</f>
        <v>Available</v>
      </c>
    </row>
    <row r="817" spans="1:16" x14ac:dyDescent="0.3">
      <c r="A817" t="s">
        <v>2106</v>
      </c>
      <c r="B817" t="s">
        <v>573</v>
      </c>
      <c r="C817" t="s">
        <v>31</v>
      </c>
      <c r="D817" t="s">
        <v>66</v>
      </c>
      <c r="E817">
        <v>34</v>
      </c>
      <c r="F817">
        <v>95</v>
      </c>
      <c r="G817">
        <v>18</v>
      </c>
      <c r="H817" s="1">
        <v>5</v>
      </c>
      <c r="I817" s="2">
        <v>45582</v>
      </c>
      <c r="J817" t="s">
        <v>2107</v>
      </c>
      <c r="K817">
        <v>41</v>
      </c>
      <c r="L817" t="str">
        <f>IF(Table1[[#This Row],[Sales_Volume]]&gt;Table1[[#This Row],[Stock_Quantity]],"Pending","Fulfilled")</f>
        <v>Pending</v>
      </c>
      <c r="M817">
        <v>8</v>
      </c>
      <c r="N817">
        <v>26</v>
      </c>
      <c r="O817" t="str">
        <f>IF(Table1[[#This Row],[Stock_Quantity]]&lt;=Table1[[#This Row],[Reorder_Level]],"Reoeder required","Sufficient")</f>
        <v>Reoeder required</v>
      </c>
      <c r="P817" t="str">
        <f>IF(Table1[[#This Row],[Stock_Quantity]]=0,"Out of stock","Available")</f>
        <v>Available</v>
      </c>
    </row>
    <row r="818" spans="1:16" x14ac:dyDescent="0.3">
      <c r="A818" t="s">
        <v>2108</v>
      </c>
      <c r="B818" t="s">
        <v>146</v>
      </c>
      <c r="C818" t="s">
        <v>18</v>
      </c>
      <c r="D818" t="s">
        <v>2109</v>
      </c>
      <c r="E818">
        <v>27</v>
      </c>
      <c r="F818">
        <v>1</v>
      </c>
      <c r="G818">
        <v>3</v>
      </c>
      <c r="H818" s="1">
        <v>30</v>
      </c>
      <c r="I818" s="2">
        <v>45513</v>
      </c>
      <c r="J818" t="s">
        <v>2110</v>
      </c>
      <c r="K818">
        <v>34</v>
      </c>
      <c r="L818" t="str">
        <f>IF(Table1[[#This Row],[Sales_Volume]]&gt;Table1[[#This Row],[Stock_Quantity]],"Pending","Fulfilled")</f>
        <v>Pending</v>
      </c>
      <c r="M818">
        <v>4</v>
      </c>
      <c r="N818">
        <v>63</v>
      </c>
      <c r="O818" t="str">
        <f>IF(Table1[[#This Row],[Stock_Quantity]]&lt;=Table1[[#This Row],[Reorder_Level]],"Reoeder required","Sufficient")</f>
        <v>Sufficient</v>
      </c>
      <c r="P818" t="str">
        <f>IF(Table1[[#This Row],[Stock_Quantity]]=0,"Out of stock","Available")</f>
        <v>Available</v>
      </c>
    </row>
    <row r="819" spans="1:16" x14ac:dyDescent="0.3">
      <c r="A819" t="s">
        <v>2111</v>
      </c>
      <c r="B819" t="s">
        <v>35</v>
      </c>
      <c r="C819" t="s">
        <v>13</v>
      </c>
      <c r="D819" t="s">
        <v>147</v>
      </c>
      <c r="E819">
        <v>50</v>
      </c>
      <c r="F819">
        <v>42</v>
      </c>
      <c r="G819">
        <v>20</v>
      </c>
      <c r="H819" s="1">
        <v>1.75</v>
      </c>
      <c r="I819" s="2">
        <v>45707</v>
      </c>
      <c r="J819" t="s">
        <v>2112</v>
      </c>
      <c r="K819">
        <v>87</v>
      </c>
      <c r="L819" t="str">
        <f>IF(Table1[[#This Row],[Sales_Volume]]&gt;Table1[[#This Row],[Stock_Quantity]],"Pending","Fulfilled")</f>
        <v>Pending</v>
      </c>
      <c r="M819">
        <v>2</v>
      </c>
      <c r="N819">
        <v>59</v>
      </c>
      <c r="O819" t="str">
        <f>IF(Table1[[#This Row],[Stock_Quantity]]&lt;=Table1[[#This Row],[Reorder_Level]],"Reoeder required","Sufficient")</f>
        <v>Sufficient</v>
      </c>
      <c r="P819" t="str">
        <f>IF(Table1[[#This Row],[Stock_Quantity]]=0,"Out of stock","Available")</f>
        <v>Available</v>
      </c>
    </row>
    <row r="820" spans="1:16" x14ac:dyDescent="0.3">
      <c r="A820" t="s">
        <v>2113</v>
      </c>
      <c r="B820" t="s">
        <v>385</v>
      </c>
      <c r="C820" t="s">
        <v>13</v>
      </c>
      <c r="D820" t="s">
        <v>1913</v>
      </c>
      <c r="E820">
        <v>85</v>
      </c>
      <c r="F820">
        <v>12</v>
      </c>
      <c r="G820">
        <v>94</v>
      </c>
      <c r="H820" s="1">
        <v>9.5</v>
      </c>
      <c r="I820" s="2">
        <v>45590</v>
      </c>
      <c r="J820" t="s">
        <v>2114</v>
      </c>
      <c r="K820">
        <v>26</v>
      </c>
      <c r="L820" t="str">
        <f>IF(Table1[[#This Row],[Sales_Volume]]&gt;Table1[[#This Row],[Stock_Quantity]],"Pending","Fulfilled")</f>
        <v>Fulfilled</v>
      </c>
      <c r="M820">
        <v>7</v>
      </c>
      <c r="N820">
        <v>32</v>
      </c>
      <c r="O820" t="str">
        <f>IF(Table1[[#This Row],[Stock_Quantity]]&lt;=Table1[[#This Row],[Reorder_Level]],"Reoeder required","Sufficient")</f>
        <v>Sufficient</v>
      </c>
      <c r="P820" t="str">
        <f>IF(Table1[[#This Row],[Stock_Quantity]]=0,"Out of stock","Available")</f>
        <v>Available</v>
      </c>
    </row>
    <row r="821" spans="1:16" x14ac:dyDescent="0.3">
      <c r="A821" t="s">
        <v>2115</v>
      </c>
      <c r="B821" t="s">
        <v>363</v>
      </c>
      <c r="C821" t="s">
        <v>13</v>
      </c>
      <c r="D821" t="s">
        <v>687</v>
      </c>
      <c r="E821">
        <v>24</v>
      </c>
      <c r="F821">
        <v>2</v>
      </c>
      <c r="G821">
        <v>49</v>
      </c>
      <c r="H821" s="1">
        <v>2</v>
      </c>
      <c r="I821" s="2">
        <v>45682</v>
      </c>
      <c r="J821" t="s">
        <v>2116</v>
      </c>
      <c r="K821">
        <v>98</v>
      </c>
      <c r="L821" t="str">
        <f>IF(Table1[[#This Row],[Sales_Volume]]&gt;Table1[[#This Row],[Stock_Quantity]],"Pending","Fulfilled")</f>
        <v>Pending</v>
      </c>
      <c r="M821">
        <v>2</v>
      </c>
      <c r="N821">
        <v>82</v>
      </c>
      <c r="O821" t="str">
        <f>IF(Table1[[#This Row],[Stock_Quantity]]&lt;=Table1[[#This Row],[Reorder_Level]],"Reoeder required","Sufficient")</f>
        <v>Sufficient</v>
      </c>
      <c r="P821" t="str">
        <f>IF(Table1[[#This Row],[Stock_Quantity]]=0,"Out of stock","Available")</f>
        <v>Available</v>
      </c>
    </row>
    <row r="822" spans="1:16" x14ac:dyDescent="0.3">
      <c r="A822" t="s">
        <v>2117</v>
      </c>
      <c r="B822" t="s">
        <v>876</v>
      </c>
      <c r="C822" t="s">
        <v>99</v>
      </c>
      <c r="D822" t="s">
        <v>580</v>
      </c>
      <c r="E822">
        <v>82</v>
      </c>
      <c r="F822">
        <v>31</v>
      </c>
      <c r="G822">
        <v>86</v>
      </c>
      <c r="H822" s="1">
        <v>20</v>
      </c>
      <c r="I822" s="2">
        <v>45429</v>
      </c>
      <c r="J822" t="s">
        <v>2118</v>
      </c>
      <c r="K822">
        <v>66</v>
      </c>
      <c r="L822" t="str">
        <f>IF(Table1[[#This Row],[Sales_Volume]]&gt;Table1[[#This Row],[Stock_Quantity]],"Pending","Fulfilled")</f>
        <v>Fulfilled</v>
      </c>
      <c r="M822">
        <v>6</v>
      </c>
      <c r="N822">
        <v>74</v>
      </c>
      <c r="O822" t="str">
        <f>IF(Table1[[#This Row],[Stock_Quantity]]&lt;=Table1[[#This Row],[Reorder_Level]],"Reoeder required","Sufficient")</f>
        <v>Sufficient</v>
      </c>
      <c r="P822" t="str">
        <f>IF(Table1[[#This Row],[Stock_Quantity]]=0,"Out of stock","Available")</f>
        <v>Available</v>
      </c>
    </row>
    <row r="823" spans="1:16" x14ac:dyDescent="0.3">
      <c r="A823" t="s">
        <v>2119</v>
      </c>
      <c r="B823" t="s">
        <v>926</v>
      </c>
      <c r="C823" t="s">
        <v>31</v>
      </c>
      <c r="D823" t="s">
        <v>1700</v>
      </c>
      <c r="E823">
        <v>17</v>
      </c>
      <c r="F823">
        <v>14</v>
      </c>
      <c r="G823">
        <v>17</v>
      </c>
      <c r="H823" s="1">
        <v>3.5</v>
      </c>
      <c r="I823" s="2">
        <v>45570</v>
      </c>
      <c r="J823" t="s">
        <v>2120</v>
      </c>
      <c r="K823">
        <v>36</v>
      </c>
      <c r="L823" t="str">
        <f>IF(Table1[[#This Row],[Sales_Volume]]&gt;Table1[[#This Row],[Stock_Quantity]],"Pending","Fulfilled")</f>
        <v>Pending</v>
      </c>
      <c r="M823">
        <v>1</v>
      </c>
      <c r="N823">
        <v>64</v>
      </c>
      <c r="O823" t="str">
        <f>IF(Table1[[#This Row],[Stock_Quantity]]&lt;=Table1[[#This Row],[Reorder_Level]],"Reoeder required","Sufficient")</f>
        <v>Sufficient</v>
      </c>
      <c r="P823" t="str">
        <f>IF(Table1[[#This Row],[Stock_Quantity]]=0,"Out of stock","Available")</f>
        <v>Available</v>
      </c>
    </row>
    <row r="824" spans="1:16" x14ac:dyDescent="0.3">
      <c r="A824" t="s">
        <v>2121</v>
      </c>
      <c r="B824" t="s">
        <v>459</v>
      </c>
      <c r="C824" t="s">
        <v>40</v>
      </c>
      <c r="D824" t="s">
        <v>208</v>
      </c>
      <c r="E824">
        <v>25</v>
      </c>
      <c r="F824">
        <v>97</v>
      </c>
      <c r="G824">
        <v>63</v>
      </c>
      <c r="H824" s="1">
        <v>2.2999999999999998</v>
      </c>
      <c r="I824" s="2">
        <v>45465</v>
      </c>
      <c r="J824" t="s">
        <v>2122</v>
      </c>
      <c r="K824">
        <v>72</v>
      </c>
      <c r="L824" t="str">
        <f>IF(Table1[[#This Row],[Sales_Volume]]&gt;Table1[[#This Row],[Stock_Quantity]],"Pending","Fulfilled")</f>
        <v>Pending</v>
      </c>
      <c r="M824">
        <v>8</v>
      </c>
      <c r="N824">
        <v>23</v>
      </c>
      <c r="O824" t="str">
        <f>IF(Table1[[#This Row],[Stock_Quantity]]&lt;=Table1[[#This Row],[Reorder_Level]],"Reoeder required","Sufficient")</f>
        <v>Reoeder required</v>
      </c>
      <c r="P824" t="str">
        <f>IF(Table1[[#This Row],[Stock_Quantity]]=0,"Out of stock","Available")</f>
        <v>Available</v>
      </c>
    </row>
    <row r="825" spans="1:16" x14ac:dyDescent="0.3">
      <c r="A825" t="s">
        <v>2123</v>
      </c>
      <c r="B825" t="s">
        <v>390</v>
      </c>
      <c r="C825" t="s">
        <v>99</v>
      </c>
      <c r="D825" t="s">
        <v>501</v>
      </c>
      <c r="E825">
        <v>56</v>
      </c>
      <c r="F825">
        <v>59</v>
      </c>
      <c r="G825">
        <v>87</v>
      </c>
      <c r="H825" s="1">
        <v>7</v>
      </c>
      <c r="I825" s="2">
        <v>45649</v>
      </c>
      <c r="J825" t="s">
        <v>2124</v>
      </c>
      <c r="K825">
        <v>65</v>
      </c>
      <c r="L825" t="str">
        <f>IF(Table1[[#This Row],[Sales_Volume]]&gt;Table1[[#This Row],[Stock_Quantity]],"Pending","Fulfilled")</f>
        <v>Pending</v>
      </c>
      <c r="M825">
        <v>7</v>
      </c>
      <c r="N825">
        <v>45</v>
      </c>
      <c r="O825" t="str">
        <f>IF(Table1[[#This Row],[Stock_Quantity]]&lt;=Table1[[#This Row],[Reorder_Level]],"Reoeder required","Sufficient")</f>
        <v>Reoeder required</v>
      </c>
      <c r="P825" t="str">
        <f>IF(Table1[[#This Row],[Stock_Quantity]]=0,"Out of stock","Available")</f>
        <v>Available</v>
      </c>
    </row>
    <row r="826" spans="1:16" x14ac:dyDescent="0.3">
      <c r="A826" t="s">
        <v>2125</v>
      </c>
      <c r="B826" t="s">
        <v>895</v>
      </c>
      <c r="C826" t="s">
        <v>45</v>
      </c>
      <c r="D826" t="s">
        <v>372</v>
      </c>
      <c r="E826">
        <v>72</v>
      </c>
      <c r="F826">
        <v>3</v>
      </c>
      <c r="G826">
        <v>10</v>
      </c>
      <c r="H826" s="1">
        <v>2</v>
      </c>
      <c r="I826" s="2">
        <v>45504</v>
      </c>
      <c r="J826" t="s">
        <v>2126</v>
      </c>
      <c r="K826">
        <v>52</v>
      </c>
      <c r="L826" t="str">
        <f>IF(Table1[[#This Row],[Sales_Volume]]&gt;Table1[[#This Row],[Stock_Quantity]],"Pending","Fulfilled")</f>
        <v>Fulfilled</v>
      </c>
      <c r="M826">
        <v>5</v>
      </c>
      <c r="N826">
        <v>14</v>
      </c>
      <c r="O826" t="str">
        <f>IF(Table1[[#This Row],[Stock_Quantity]]&lt;=Table1[[#This Row],[Reorder_Level]],"Reoeder required","Sufficient")</f>
        <v>Sufficient</v>
      </c>
      <c r="P826" t="str">
        <f>IF(Table1[[#This Row],[Stock_Quantity]]=0,"Out of stock","Available")</f>
        <v>Available</v>
      </c>
    </row>
    <row r="827" spans="1:16" x14ac:dyDescent="0.3">
      <c r="A827" t="s">
        <v>2127</v>
      </c>
      <c r="B827" t="s">
        <v>123</v>
      </c>
      <c r="C827" t="s">
        <v>31</v>
      </c>
      <c r="D827" t="s">
        <v>335</v>
      </c>
      <c r="E827">
        <v>65</v>
      </c>
      <c r="F827">
        <v>42</v>
      </c>
      <c r="G827">
        <v>62</v>
      </c>
      <c r="H827" s="1">
        <v>6.3</v>
      </c>
      <c r="I827" s="2">
        <v>45462</v>
      </c>
      <c r="J827" t="s">
        <v>2128</v>
      </c>
      <c r="K827">
        <v>54</v>
      </c>
      <c r="L827" t="str">
        <f>IF(Table1[[#This Row],[Sales_Volume]]&gt;Table1[[#This Row],[Stock_Quantity]],"Pending","Fulfilled")</f>
        <v>Fulfilled</v>
      </c>
      <c r="M827">
        <v>5</v>
      </c>
      <c r="N827">
        <v>2</v>
      </c>
      <c r="O827" t="str">
        <f>IF(Table1[[#This Row],[Stock_Quantity]]&lt;=Table1[[#This Row],[Reorder_Level]],"Reoeder required","Sufficient")</f>
        <v>Sufficient</v>
      </c>
      <c r="P827" t="str">
        <f>IF(Table1[[#This Row],[Stock_Quantity]]=0,"Out of stock","Available")</f>
        <v>Available</v>
      </c>
    </row>
    <row r="828" spans="1:16" x14ac:dyDescent="0.3">
      <c r="A828" t="s">
        <v>2129</v>
      </c>
      <c r="B828" t="s">
        <v>846</v>
      </c>
      <c r="C828" t="s">
        <v>31</v>
      </c>
      <c r="D828" t="s">
        <v>1440</v>
      </c>
      <c r="E828">
        <v>30</v>
      </c>
      <c r="F828">
        <v>66</v>
      </c>
      <c r="G828">
        <v>28</v>
      </c>
      <c r="H828" s="1">
        <v>5.5</v>
      </c>
      <c r="I828" s="2">
        <v>45696</v>
      </c>
      <c r="J828" t="s">
        <v>2130</v>
      </c>
      <c r="K828">
        <v>63</v>
      </c>
      <c r="L828" t="str">
        <f>IF(Table1[[#This Row],[Sales_Volume]]&gt;Table1[[#This Row],[Stock_Quantity]],"Pending","Fulfilled")</f>
        <v>Pending</v>
      </c>
      <c r="M828">
        <v>7</v>
      </c>
      <c r="N828">
        <v>98</v>
      </c>
      <c r="O828" t="str">
        <f>IF(Table1[[#This Row],[Stock_Quantity]]&lt;=Table1[[#This Row],[Reorder_Level]],"Reoeder required","Sufficient")</f>
        <v>Reoeder required</v>
      </c>
      <c r="P828" t="str">
        <f>IF(Table1[[#This Row],[Stock_Quantity]]=0,"Out of stock","Available")</f>
        <v>Available</v>
      </c>
    </row>
    <row r="829" spans="1:16" x14ac:dyDescent="0.3">
      <c r="A829" t="s">
        <v>2131</v>
      </c>
      <c r="B829" t="s">
        <v>154</v>
      </c>
      <c r="C829" t="s">
        <v>31</v>
      </c>
      <c r="D829" t="s">
        <v>539</v>
      </c>
      <c r="E829">
        <v>39</v>
      </c>
      <c r="F829">
        <v>37</v>
      </c>
      <c r="G829">
        <v>48</v>
      </c>
      <c r="H829" s="1">
        <v>2</v>
      </c>
      <c r="I829" s="2">
        <v>45530</v>
      </c>
      <c r="J829" t="s">
        <v>2132</v>
      </c>
      <c r="K829">
        <v>25</v>
      </c>
      <c r="L829" t="str">
        <f>IF(Table1[[#This Row],[Sales_Volume]]&gt;Table1[[#This Row],[Stock_Quantity]],"Pending","Fulfilled")</f>
        <v>Fulfilled</v>
      </c>
      <c r="M829">
        <v>7</v>
      </c>
      <c r="N829">
        <v>19</v>
      </c>
      <c r="O829" t="str">
        <f>IF(Table1[[#This Row],[Stock_Quantity]]&lt;=Table1[[#This Row],[Reorder_Level]],"Reoeder required","Sufficient")</f>
        <v>Sufficient</v>
      </c>
      <c r="P829" t="str">
        <f>IF(Table1[[#This Row],[Stock_Quantity]]=0,"Out of stock","Available")</f>
        <v>Available</v>
      </c>
    </row>
    <row r="830" spans="1:16" x14ac:dyDescent="0.3">
      <c r="A830" t="s">
        <v>2133</v>
      </c>
      <c r="B830" t="s">
        <v>138</v>
      </c>
      <c r="C830" t="s">
        <v>31</v>
      </c>
      <c r="D830" t="s">
        <v>984</v>
      </c>
      <c r="E830">
        <v>14</v>
      </c>
      <c r="F830">
        <v>81</v>
      </c>
      <c r="G830">
        <v>65</v>
      </c>
      <c r="H830" s="1">
        <v>3.5</v>
      </c>
      <c r="I830" s="2">
        <v>45366</v>
      </c>
      <c r="J830" t="s">
        <v>2134</v>
      </c>
      <c r="K830">
        <v>74</v>
      </c>
      <c r="L830" t="str">
        <f>IF(Table1[[#This Row],[Sales_Volume]]&gt;Table1[[#This Row],[Stock_Quantity]],"Pending","Fulfilled")</f>
        <v>Pending</v>
      </c>
      <c r="M830">
        <v>6</v>
      </c>
      <c r="N830">
        <v>84</v>
      </c>
      <c r="O830" t="str">
        <f>IF(Table1[[#This Row],[Stock_Quantity]]&lt;=Table1[[#This Row],[Reorder_Level]],"Reoeder required","Sufficient")</f>
        <v>Reoeder required</v>
      </c>
      <c r="P830" t="str">
        <f>IF(Table1[[#This Row],[Stock_Quantity]]=0,"Out of stock","Available")</f>
        <v>Available</v>
      </c>
    </row>
    <row r="831" spans="1:16" x14ac:dyDescent="0.3">
      <c r="A831" t="s">
        <v>2135</v>
      </c>
      <c r="B831" t="s">
        <v>239</v>
      </c>
      <c r="C831" t="s">
        <v>31</v>
      </c>
      <c r="D831" t="s">
        <v>822</v>
      </c>
      <c r="E831">
        <v>74</v>
      </c>
      <c r="F831">
        <v>37</v>
      </c>
      <c r="G831">
        <v>57</v>
      </c>
      <c r="H831" s="1">
        <v>1.5</v>
      </c>
      <c r="I831" s="2">
        <v>45355</v>
      </c>
      <c r="J831" t="s">
        <v>2136</v>
      </c>
      <c r="K831">
        <v>91</v>
      </c>
      <c r="L831" t="str">
        <f>IF(Table1[[#This Row],[Sales_Volume]]&gt;Table1[[#This Row],[Stock_Quantity]],"Pending","Fulfilled")</f>
        <v>Pending</v>
      </c>
      <c r="M831">
        <v>2</v>
      </c>
      <c r="N831">
        <v>18</v>
      </c>
      <c r="O831" t="str">
        <f>IF(Table1[[#This Row],[Stock_Quantity]]&lt;=Table1[[#This Row],[Reorder_Level]],"Reoeder required","Sufficient")</f>
        <v>Sufficient</v>
      </c>
      <c r="P831" t="str">
        <f>IF(Table1[[#This Row],[Stock_Quantity]]=0,"Out of stock","Available")</f>
        <v>Available</v>
      </c>
    </row>
    <row r="832" spans="1:16" x14ac:dyDescent="0.3">
      <c r="A832" t="s">
        <v>2137</v>
      </c>
      <c r="B832" t="s">
        <v>111</v>
      </c>
      <c r="C832" t="s">
        <v>45</v>
      </c>
      <c r="D832" t="s">
        <v>1613</v>
      </c>
      <c r="E832">
        <v>63</v>
      </c>
      <c r="F832">
        <v>41</v>
      </c>
      <c r="G832">
        <v>98</v>
      </c>
      <c r="H832" s="1">
        <v>11.9</v>
      </c>
      <c r="I832" s="2">
        <v>45643</v>
      </c>
      <c r="J832" t="s">
        <v>2138</v>
      </c>
      <c r="K832">
        <v>37</v>
      </c>
      <c r="L832" t="str">
        <f>IF(Table1[[#This Row],[Sales_Volume]]&gt;Table1[[#This Row],[Stock_Quantity]],"Pending","Fulfilled")</f>
        <v>Fulfilled</v>
      </c>
      <c r="M832">
        <v>6</v>
      </c>
      <c r="N832">
        <v>7</v>
      </c>
      <c r="O832" t="str">
        <f>IF(Table1[[#This Row],[Stock_Quantity]]&lt;=Table1[[#This Row],[Reorder_Level]],"Reoeder required","Sufficient")</f>
        <v>Sufficient</v>
      </c>
      <c r="P832" t="str">
        <f>IF(Table1[[#This Row],[Stock_Quantity]]=0,"Out of stock","Available")</f>
        <v>Available</v>
      </c>
    </row>
    <row r="833" spans="1:16" x14ac:dyDescent="0.3">
      <c r="A833" t="s">
        <v>2139</v>
      </c>
      <c r="B833" t="s">
        <v>425</v>
      </c>
      <c r="C833" t="s">
        <v>31</v>
      </c>
      <c r="D833" t="s">
        <v>77</v>
      </c>
      <c r="E833">
        <v>47</v>
      </c>
      <c r="F833">
        <v>67</v>
      </c>
      <c r="G833">
        <v>57</v>
      </c>
      <c r="H833" s="1">
        <v>4</v>
      </c>
      <c r="I833" s="2">
        <v>45495</v>
      </c>
      <c r="J833" t="s">
        <v>2140</v>
      </c>
      <c r="K833">
        <v>36</v>
      </c>
      <c r="L833" t="str">
        <f>IF(Table1[[#This Row],[Sales_Volume]]&gt;Table1[[#This Row],[Stock_Quantity]],"Pending","Fulfilled")</f>
        <v>Fulfilled</v>
      </c>
      <c r="M833">
        <v>8</v>
      </c>
      <c r="N833">
        <v>48</v>
      </c>
      <c r="O833" t="str">
        <f>IF(Table1[[#This Row],[Stock_Quantity]]&lt;=Table1[[#This Row],[Reorder_Level]],"Reoeder required","Sufficient")</f>
        <v>Reoeder required</v>
      </c>
      <c r="P833" t="str">
        <f>IF(Table1[[#This Row],[Stock_Quantity]]=0,"Out of stock","Available")</f>
        <v>Available</v>
      </c>
    </row>
    <row r="834" spans="1:16" x14ac:dyDescent="0.3">
      <c r="A834" t="s">
        <v>2141</v>
      </c>
      <c r="B834" t="s">
        <v>556</v>
      </c>
      <c r="C834" t="s">
        <v>45</v>
      </c>
      <c r="D834" t="s">
        <v>560</v>
      </c>
      <c r="E834">
        <v>42</v>
      </c>
      <c r="F834">
        <v>94</v>
      </c>
      <c r="G834">
        <v>79</v>
      </c>
      <c r="H834" s="1">
        <v>2.5</v>
      </c>
      <c r="I834" s="2">
        <v>45647</v>
      </c>
      <c r="J834" t="s">
        <v>2142</v>
      </c>
      <c r="K834">
        <v>61</v>
      </c>
      <c r="L834" t="str">
        <f>IF(Table1[[#This Row],[Sales_Volume]]&gt;Table1[[#This Row],[Stock_Quantity]],"Pending","Fulfilled")</f>
        <v>Pending</v>
      </c>
      <c r="M834">
        <v>8</v>
      </c>
      <c r="N834">
        <v>92</v>
      </c>
      <c r="O834" t="str">
        <f>IF(Table1[[#This Row],[Stock_Quantity]]&lt;=Table1[[#This Row],[Reorder_Level]],"Reoeder required","Sufficient")</f>
        <v>Reoeder required</v>
      </c>
      <c r="P834" t="str">
        <f>IF(Table1[[#This Row],[Stock_Quantity]]=0,"Out of stock","Available")</f>
        <v>Available</v>
      </c>
    </row>
    <row r="835" spans="1:16" x14ac:dyDescent="0.3">
      <c r="A835" t="s">
        <v>2143</v>
      </c>
      <c r="B835" t="s">
        <v>951</v>
      </c>
      <c r="C835" t="s">
        <v>31</v>
      </c>
      <c r="D835" t="s">
        <v>801</v>
      </c>
      <c r="E835">
        <v>32</v>
      </c>
      <c r="F835">
        <v>49</v>
      </c>
      <c r="G835">
        <v>73</v>
      </c>
      <c r="H835" s="1">
        <v>2.5</v>
      </c>
      <c r="I835" s="2">
        <v>45404</v>
      </c>
      <c r="J835" t="s">
        <v>2144</v>
      </c>
      <c r="K835">
        <v>80</v>
      </c>
      <c r="L835" t="str">
        <f>IF(Table1[[#This Row],[Sales_Volume]]&gt;Table1[[#This Row],[Stock_Quantity]],"Pending","Fulfilled")</f>
        <v>Pending</v>
      </c>
      <c r="M835">
        <v>4</v>
      </c>
      <c r="N835">
        <v>36</v>
      </c>
      <c r="O835" t="str">
        <f>IF(Table1[[#This Row],[Stock_Quantity]]&lt;=Table1[[#This Row],[Reorder_Level]],"Reoeder required","Sufficient")</f>
        <v>Reoeder required</v>
      </c>
      <c r="P835" t="str">
        <f>IF(Table1[[#This Row],[Stock_Quantity]]=0,"Out of stock","Available")</f>
        <v>Available</v>
      </c>
    </row>
    <row r="836" spans="1:16" x14ac:dyDescent="0.3">
      <c r="A836" t="s">
        <v>2145</v>
      </c>
      <c r="B836" t="s">
        <v>393</v>
      </c>
      <c r="C836" t="s">
        <v>31</v>
      </c>
      <c r="D836" t="s">
        <v>617</v>
      </c>
      <c r="E836">
        <v>88</v>
      </c>
      <c r="F836">
        <v>56</v>
      </c>
      <c r="G836">
        <v>72</v>
      </c>
      <c r="H836" s="1">
        <v>2</v>
      </c>
      <c r="I836" s="2">
        <v>45394</v>
      </c>
      <c r="J836" t="s">
        <v>2146</v>
      </c>
      <c r="K836">
        <v>25</v>
      </c>
      <c r="L836" t="str">
        <f>IF(Table1[[#This Row],[Sales_Volume]]&gt;Table1[[#This Row],[Stock_Quantity]],"Pending","Fulfilled")</f>
        <v>Fulfilled</v>
      </c>
      <c r="M836">
        <v>2</v>
      </c>
      <c r="N836">
        <v>36</v>
      </c>
      <c r="O836" t="str">
        <f>IF(Table1[[#This Row],[Stock_Quantity]]&lt;=Table1[[#This Row],[Reorder_Level]],"Reoeder required","Sufficient")</f>
        <v>Sufficient</v>
      </c>
      <c r="P836" t="str">
        <f>IF(Table1[[#This Row],[Stock_Quantity]]=0,"Out of stock","Available")</f>
        <v>Available</v>
      </c>
    </row>
    <row r="837" spans="1:16" x14ac:dyDescent="0.3">
      <c r="A837" t="s">
        <v>2147</v>
      </c>
      <c r="B837" t="s">
        <v>914</v>
      </c>
      <c r="C837" t="s">
        <v>45</v>
      </c>
      <c r="D837" t="s">
        <v>2148</v>
      </c>
      <c r="E837">
        <v>80</v>
      </c>
      <c r="F837">
        <v>69</v>
      </c>
      <c r="G837">
        <v>71</v>
      </c>
      <c r="H837" s="1">
        <v>1.75</v>
      </c>
      <c r="I837" s="2">
        <v>45415</v>
      </c>
      <c r="J837" t="s">
        <v>2149</v>
      </c>
      <c r="K837">
        <v>41</v>
      </c>
      <c r="L837" t="str">
        <f>IF(Table1[[#This Row],[Sales_Volume]]&gt;Table1[[#This Row],[Stock_Quantity]],"Pending","Fulfilled")</f>
        <v>Fulfilled</v>
      </c>
      <c r="M837">
        <v>8</v>
      </c>
      <c r="N837">
        <v>43</v>
      </c>
      <c r="O837" t="str">
        <f>IF(Table1[[#This Row],[Stock_Quantity]]&lt;=Table1[[#This Row],[Reorder_Level]],"Reoeder required","Sufficient")</f>
        <v>Sufficient</v>
      </c>
      <c r="P837" t="str">
        <f>IF(Table1[[#This Row],[Stock_Quantity]]=0,"Out of stock","Available")</f>
        <v>Available</v>
      </c>
    </row>
    <row r="838" spans="1:16" x14ac:dyDescent="0.3">
      <c r="A838" t="s">
        <v>2150</v>
      </c>
      <c r="B838" t="s">
        <v>211</v>
      </c>
      <c r="C838" t="s">
        <v>31</v>
      </c>
      <c r="D838" t="s">
        <v>1162</v>
      </c>
      <c r="E838">
        <v>36</v>
      </c>
      <c r="F838">
        <v>59</v>
      </c>
      <c r="G838">
        <v>90</v>
      </c>
      <c r="H838" s="1">
        <v>3</v>
      </c>
      <c r="I838" s="2">
        <v>45635</v>
      </c>
      <c r="J838" t="s">
        <v>2151</v>
      </c>
      <c r="K838">
        <v>25</v>
      </c>
      <c r="L838" t="str">
        <f>IF(Table1[[#This Row],[Sales_Volume]]&gt;Table1[[#This Row],[Stock_Quantity]],"Pending","Fulfilled")</f>
        <v>Fulfilled</v>
      </c>
      <c r="M838">
        <v>1</v>
      </c>
      <c r="N838">
        <v>60</v>
      </c>
      <c r="O838" t="str">
        <f>IF(Table1[[#This Row],[Stock_Quantity]]&lt;=Table1[[#This Row],[Reorder_Level]],"Reoeder required","Sufficient")</f>
        <v>Reoeder required</v>
      </c>
      <c r="P838" t="str">
        <f>IF(Table1[[#This Row],[Stock_Quantity]]=0,"Out of stock","Available")</f>
        <v>Available</v>
      </c>
    </row>
    <row r="839" spans="1:16" x14ac:dyDescent="0.3">
      <c r="A839" t="s">
        <v>2152</v>
      </c>
      <c r="B839" t="s">
        <v>80</v>
      </c>
      <c r="C839" t="s">
        <v>13</v>
      </c>
      <c r="D839" t="s">
        <v>240</v>
      </c>
      <c r="E839">
        <v>11</v>
      </c>
      <c r="F839">
        <v>77</v>
      </c>
      <c r="G839">
        <v>7</v>
      </c>
      <c r="H839" s="1">
        <v>1.5</v>
      </c>
      <c r="I839" s="2">
        <v>45601</v>
      </c>
      <c r="J839" t="s">
        <v>2153</v>
      </c>
      <c r="K839">
        <v>77</v>
      </c>
      <c r="L839" t="str">
        <f>IF(Table1[[#This Row],[Sales_Volume]]&gt;Table1[[#This Row],[Stock_Quantity]],"Pending","Fulfilled")</f>
        <v>Pending</v>
      </c>
      <c r="M839">
        <v>6</v>
      </c>
      <c r="N839">
        <v>46</v>
      </c>
      <c r="O839" t="str">
        <f>IF(Table1[[#This Row],[Stock_Quantity]]&lt;=Table1[[#This Row],[Reorder_Level]],"Reoeder required","Sufficient")</f>
        <v>Reoeder required</v>
      </c>
      <c r="P839" t="str">
        <f>IF(Table1[[#This Row],[Stock_Quantity]]=0,"Out of stock","Available")</f>
        <v>Available</v>
      </c>
    </row>
    <row r="840" spans="1:16" x14ac:dyDescent="0.3">
      <c r="A840" t="s">
        <v>2154</v>
      </c>
      <c r="B840" t="s">
        <v>425</v>
      </c>
      <c r="C840" t="s">
        <v>31</v>
      </c>
      <c r="D840" t="s">
        <v>899</v>
      </c>
      <c r="E840">
        <v>40</v>
      </c>
      <c r="F840">
        <v>83</v>
      </c>
      <c r="G840">
        <v>50</v>
      </c>
      <c r="H840" s="1">
        <v>4</v>
      </c>
      <c r="I840" s="2">
        <v>45538</v>
      </c>
      <c r="J840" t="s">
        <v>2155</v>
      </c>
      <c r="K840">
        <v>92</v>
      </c>
      <c r="L840" t="str">
        <f>IF(Table1[[#This Row],[Sales_Volume]]&gt;Table1[[#This Row],[Stock_Quantity]],"Pending","Fulfilled")</f>
        <v>Pending</v>
      </c>
      <c r="M840">
        <v>5</v>
      </c>
      <c r="N840">
        <v>50</v>
      </c>
      <c r="O840" t="str">
        <f>IF(Table1[[#This Row],[Stock_Quantity]]&lt;=Table1[[#This Row],[Reorder_Level]],"Reoeder required","Sufficient")</f>
        <v>Reoeder required</v>
      </c>
      <c r="P840" t="str">
        <f>IF(Table1[[#This Row],[Stock_Quantity]]=0,"Out of stock","Available")</f>
        <v>Available</v>
      </c>
    </row>
    <row r="841" spans="1:16" x14ac:dyDescent="0.3">
      <c r="A841" t="s">
        <v>2156</v>
      </c>
      <c r="B841" t="s">
        <v>80</v>
      </c>
      <c r="C841" t="s">
        <v>13</v>
      </c>
      <c r="D841" t="s">
        <v>2047</v>
      </c>
      <c r="E841">
        <v>63</v>
      </c>
      <c r="F841">
        <v>43</v>
      </c>
      <c r="G841">
        <v>8</v>
      </c>
      <c r="H841" s="1">
        <v>1.5</v>
      </c>
      <c r="I841" s="2">
        <v>45402</v>
      </c>
      <c r="J841" t="s">
        <v>2157</v>
      </c>
      <c r="K841">
        <v>55</v>
      </c>
      <c r="L841" t="str">
        <f>IF(Table1[[#This Row],[Sales_Volume]]&gt;Table1[[#This Row],[Stock_Quantity]],"Pending","Fulfilled")</f>
        <v>Fulfilled</v>
      </c>
      <c r="M841">
        <v>3</v>
      </c>
      <c r="N841">
        <v>72</v>
      </c>
      <c r="O841" t="str">
        <f>IF(Table1[[#This Row],[Stock_Quantity]]&lt;=Table1[[#This Row],[Reorder_Level]],"Reoeder required","Sufficient")</f>
        <v>Sufficient</v>
      </c>
      <c r="P841" t="str">
        <f>IF(Table1[[#This Row],[Stock_Quantity]]=0,"Out of stock","Available")</f>
        <v>Available</v>
      </c>
    </row>
    <row r="842" spans="1:16" x14ac:dyDescent="0.3">
      <c r="A842" t="s">
        <v>2158</v>
      </c>
      <c r="B842" t="s">
        <v>115</v>
      </c>
      <c r="C842" t="s">
        <v>13</v>
      </c>
      <c r="D842" t="s">
        <v>1720</v>
      </c>
      <c r="E842">
        <v>90</v>
      </c>
      <c r="F842">
        <v>75</v>
      </c>
      <c r="G842">
        <v>43</v>
      </c>
      <c r="H842" s="1">
        <v>1.5</v>
      </c>
      <c r="I842" s="2">
        <v>45553</v>
      </c>
      <c r="J842" t="s">
        <v>2159</v>
      </c>
      <c r="K842">
        <v>80</v>
      </c>
      <c r="L842" t="str">
        <f>IF(Table1[[#This Row],[Sales_Volume]]&gt;Table1[[#This Row],[Stock_Quantity]],"Pending","Fulfilled")</f>
        <v>Fulfilled</v>
      </c>
      <c r="M842">
        <v>1</v>
      </c>
      <c r="N842">
        <v>57</v>
      </c>
      <c r="O842" t="str">
        <f>IF(Table1[[#This Row],[Stock_Quantity]]&lt;=Table1[[#This Row],[Reorder_Level]],"Reoeder required","Sufficient")</f>
        <v>Sufficient</v>
      </c>
      <c r="P842" t="str">
        <f>IF(Table1[[#This Row],[Stock_Quantity]]=0,"Out of stock","Available")</f>
        <v>Available</v>
      </c>
    </row>
    <row r="843" spans="1:16" x14ac:dyDescent="0.3">
      <c r="A843" t="s">
        <v>2160</v>
      </c>
      <c r="B843" t="s">
        <v>187</v>
      </c>
      <c r="C843" t="s">
        <v>65</v>
      </c>
      <c r="D843" t="s">
        <v>734</v>
      </c>
      <c r="E843">
        <v>47</v>
      </c>
      <c r="F843">
        <v>26</v>
      </c>
      <c r="G843">
        <v>40</v>
      </c>
      <c r="H843" s="1">
        <v>3.25</v>
      </c>
      <c r="I843" s="2">
        <v>45669</v>
      </c>
      <c r="J843" t="s">
        <v>2161</v>
      </c>
      <c r="K843">
        <v>30</v>
      </c>
      <c r="L843" t="str">
        <f>IF(Table1[[#This Row],[Sales_Volume]]&gt;Table1[[#This Row],[Stock_Quantity]],"Pending","Fulfilled")</f>
        <v>Fulfilled</v>
      </c>
      <c r="M843">
        <v>5</v>
      </c>
      <c r="N843">
        <v>72</v>
      </c>
      <c r="O843" t="str">
        <f>IF(Table1[[#This Row],[Stock_Quantity]]&lt;=Table1[[#This Row],[Reorder_Level]],"Reoeder required","Sufficient")</f>
        <v>Sufficient</v>
      </c>
      <c r="P843" t="str">
        <f>IF(Table1[[#This Row],[Stock_Quantity]]=0,"Out of stock","Available")</f>
        <v>Available</v>
      </c>
    </row>
    <row r="844" spans="1:16" x14ac:dyDescent="0.3">
      <c r="A844" t="s">
        <v>2162</v>
      </c>
      <c r="B844" t="s">
        <v>743</v>
      </c>
      <c r="C844" t="s">
        <v>65</v>
      </c>
      <c r="D844" t="s">
        <v>923</v>
      </c>
      <c r="E844">
        <v>29</v>
      </c>
      <c r="F844">
        <v>2</v>
      </c>
      <c r="G844">
        <v>84</v>
      </c>
      <c r="H844" s="1">
        <v>4</v>
      </c>
      <c r="I844" s="2">
        <v>45401</v>
      </c>
      <c r="J844" t="s">
        <v>2163</v>
      </c>
      <c r="K844">
        <v>80</v>
      </c>
      <c r="L844" t="str">
        <f>IF(Table1[[#This Row],[Sales_Volume]]&gt;Table1[[#This Row],[Stock_Quantity]],"Pending","Fulfilled")</f>
        <v>Pending</v>
      </c>
      <c r="M844">
        <v>4</v>
      </c>
      <c r="N844">
        <v>85</v>
      </c>
      <c r="O844" t="str">
        <f>IF(Table1[[#This Row],[Stock_Quantity]]&lt;=Table1[[#This Row],[Reorder_Level]],"Reoeder required","Sufficient")</f>
        <v>Sufficient</v>
      </c>
      <c r="P844" t="str">
        <f>IF(Table1[[#This Row],[Stock_Quantity]]=0,"Out of stock","Available")</f>
        <v>Available</v>
      </c>
    </row>
    <row r="845" spans="1:16" x14ac:dyDescent="0.3">
      <c r="A845" t="s">
        <v>2164</v>
      </c>
      <c r="B845" t="s">
        <v>425</v>
      </c>
      <c r="C845" t="s">
        <v>31</v>
      </c>
      <c r="D845" t="s">
        <v>1556</v>
      </c>
      <c r="E845">
        <v>94</v>
      </c>
      <c r="F845">
        <v>69</v>
      </c>
      <c r="G845">
        <v>68</v>
      </c>
      <c r="H845" s="1">
        <v>4</v>
      </c>
      <c r="I845" s="2">
        <v>45673</v>
      </c>
      <c r="J845" t="s">
        <v>2165</v>
      </c>
      <c r="K845">
        <v>24</v>
      </c>
      <c r="L845" t="str">
        <f>IF(Table1[[#This Row],[Sales_Volume]]&gt;Table1[[#This Row],[Stock_Quantity]],"Pending","Fulfilled")</f>
        <v>Fulfilled</v>
      </c>
      <c r="M845">
        <v>5</v>
      </c>
      <c r="N845">
        <v>20</v>
      </c>
      <c r="O845" t="str">
        <f>IF(Table1[[#This Row],[Stock_Quantity]]&lt;=Table1[[#This Row],[Reorder_Level]],"Reoeder required","Sufficient")</f>
        <v>Sufficient</v>
      </c>
      <c r="P845" t="str">
        <f>IF(Table1[[#This Row],[Stock_Quantity]]=0,"Out of stock","Available")</f>
        <v>Available</v>
      </c>
    </row>
    <row r="846" spans="1:16" x14ac:dyDescent="0.3">
      <c r="A846" t="s">
        <v>2166</v>
      </c>
      <c r="B846" t="s">
        <v>172</v>
      </c>
      <c r="C846" t="s">
        <v>31</v>
      </c>
      <c r="D846" t="s">
        <v>293</v>
      </c>
      <c r="E846">
        <v>32</v>
      </c>
      <c r="F846">
        <v>63</v>
      </c>
      <c r="G846">
        <v>92</v>
      </c>
      <c r="H846" s="1">
        <v>4.9000000000000004</v>
      </c>
      <c r="I846" s="2">
        <v>45498</v>
      </c>
      <c r="J846" t="s">
        <v>2167</v>
      </c>
      <c r="K846">
        <v>84</v>
      </c>
      <c r="L846" t="str">
        <f>IF(Table1[[#This Row],[Sales_Volume]]&gt;Table1[[#This Row],[Stock_Quantity]],"Pending","Fulfilled")</f>
        <v>Pending</v>
      </c>
      <c r="M846">
        <v>1</v>
      </c>
      <c r="N846">
        <v>34</v>
      </c>
      <c r="O846" t="str">
        <f>IF(Table1[[#This Row],[Stock_Quantity]]&lt;=Table1[[#This Row],[Reorder_Level]],"Reoeder required","Sufficient")</f>
        <v>Reoeder required</v>
      </c>
      <c r="P846" t="str">
        <f>IF(Table1[[#This Row],[Stock_Quantity]]=0,"Out of stock","Available")</f>
        <v>Available</v>
      </c>
    </row>
    <row r="847" spans="1:16" x14ac:dyDescent="0.3">
      <c r="A847" t="s">
        <v>2168</v>
      </c>
      <c r="B847" t="s">
        <v>30</v>
      </c>
      <c r="C847" t="s">
        <v>31</v>
      </c>
      <c r="D847" t="s">
        <v>961</v>
      </c>
      <c r="E847">
        <v>40</v>
      </c>
      <c r="F847">
        <v>3</v>
      </c>
      <c r="G847">
        <v>5</v>
      </c>
      <c r="H847" s="1">
        <v>4</v>
      </c>
      <c r="I847" s="2">
        <v>45458</v>
      </c>
      <c r="J847" t="s">
        <v>2169</v>
      </c>
      <c r="K847">
        <v>45</v>
      </c>
      <c r="L847" t="str">
        <f>IF(Table1[[#This Row],[Sales_Volume]]&gt;Table1[[#This Row],[Stock_Quantity]],"Pending","Fulfilled")</f>
        <v>Pending</v>
      </c>
      <c r="M847">
        <v>2</v>
      </c>
      <c r="N847">
        <v>69</v>
      </c>
      <c r="O847" t="str">
        <f>IF(Table1[[#This Row],[Stock_Quantity]]&lt;=Table1[[#This Row],[Reorder_Level]],"Reoeder required","Sufficient")</f>
        <v>Sufficient</v>
      </c>
      <c r="P847" t="str">
        <f>IF(Table1[[#This Row],[Stock_Quantity]]=0,"Out of stock","Available")</f>
        <v>Available</v>
      </c>
    </row>
    <row r="848" spans="1:16" x14ac:dyDescent="0.3">
      <c r="A848" t="s">
        <v>2170</v>
      </c>
      <c r="B848" t="s">
        <v>44</v>
      </c>
      <c r="C848" t="s">
        <v>45</v>
      </c>
      <c r="D848" t="s">
        <v>1087</v>
      </c>
      <c r="E848">
        <v>50</v>
      </c>
      <c r="F848">
        <v>66</v>
      </c>
      <c r="G848">
        <v>1</v>
      </c>
      <c r="H848" s="1">
        <v>2.5</v>
      </c>
      <c r="I848" s="2">
        <v>45633</v>
      </c>
      <c r="J848" t="s">
        <v>2171</v>
      </c>
      <c r="K848">
        <v>76</v>
      </c>
      <c r="L848" t="str">
        <f>IF(Table1[[#This Row],[Sales_Volume]]&gt;Table1[[#This Row],[Stock_Quantity]],"Pending","Fulfilled")</f>
        <v>Pending</v>
      </c>
      <c r="M848">
        <v>7</v>
      </c>
      <c r="N848">
        <v>73</v>
      </c>
      <c r="O848" t="str">
        <f>IF(Table1[[#This Row],[Stock_Quantity]]&lt;=Table1[[#This Row],[Reorder_Level]],"Reoeder required","Sufficient")</f>
        <v>Reoeder required</v>
      </c>
      <c r="P848" t="str">
        <f>IF(Table1[[#This Row],[Stock_Quantity]]=0,"Out of stock","Available")</f>
        <v>Available</v>
      </c>
    </row>
    <row r="849" spans="1:16" x14ac:dyDescent="0.3">
      <c r="A849" t="s">
        <v>2172</v>
      </c>
      <c r="B849" t="s">
        <v>408</v>
      </c>
      <c r="C849" t="s">
        <v>99</v>
      </c>
      <c r="D849" t="s">
        <v>1236</v>
      </c>
      <c r="E849">
        <v>72</v>
      </c>
      <c r="F849">
        <v>29</v>
      </c>
      <c r="G849">
        <v>10</v>
      </c>
      <c r="H849" s="1">
        <v>8</v>
      </c>
      <c r="I849" s="2">
        <v>45389</v>
      </c>
      <c r="J849" t="s">
        <v>2173</v>
      </c>
      <c r="K849">
        <v>54</v>
      </c>
      <c r="L849" t="str">
        <f>IF(Table1[[#This Row],[Sales_Volume]]&gt;Table1[[#This Row],[Stock_Quantity]],"Pending","Fulfilled")</f>
        <v>Fulfilled</v>
      </c>
      <c r="M849">
        <v>2</v>
      </c>
      <c r="N849">
        <v>38</v>
      </c>
      <c r="O849" t="str">
        <f>IF(Table1[[#This Row],[Stock_Quantity]]&lt;=Table1[[#This Row],[Reorder_Level]],"Reoeder required","Sufficient")</f>
        <v>Sufficient</v>
      </c>
      <c r="P849" t="str">
        <f>IF(Table1[[#This Row],[Stock_Quantity]]=0,"Out of stock","Available")</f>
        <v>Available</v>
      </c>
    </row>
    <row r="850" spans="1:16" x14ac:dyDescent="0.3">
      <c r="A850" t="s">
        <v>2174</v>
      </c>
      <c r="B850" t="s">
        <v>418</v>
      </c>
      <c r="C850" t="s">
        <v>31</v>
      </c>
      <c r="D850" t="s">
        <v>302</v>
      </c>
      <c r="E850">
        <v>22</v>
      </c>
      <c r="F850">
        <v>35</v>
      </c>
      <c r="G850">
        <v>55</v>
      </c>
      <c r="H850" s="1">
        <v>6</v>
      </c>
      <c r="I850" s="2">
        <v>45531</v>
      </c>
      <c r="J850" t="s">
        <v>2175</v>
      </c>
      <c r="K850">
        <v>41</v>
      </c>
      <c r="L850" t="str">
        <f>IF(Table1[[#This Row],[Sales_Volume]]&gt;Table1[[#This Row],[Stock_Quantity]],"Pending","Fulfilled")</f>
        <v>Pending</v>
      </c>
      <c r="M850">
        <v>7</v>
      </c>
      <c r="N850">
        <v>27</v>
      </c>
      <c r="O850" t="str">
        <f>IF(Table1[[#This Row],[Stock_Quantity]]&lt;=Table1[[#This Row],[Reorder_Level]],"Reoeder required","Sufficient")</f>
        <v>Reoeder required</v>
      </c>
      <c r="P850" t="str">
        <f>IF(Table1[[#This Row],[Stock_Quantity]]=0,"Out of stock","Available")</f>
        <v>Available</v>
      </c>
    </row>
    <row r="851" spans="1:16" x14ac:dyDescent="0.3">
      <c r="A851" t="s">
        <v>2176</v>
      </c>
      <c r="B851" t="s">
        <v>342</v>
      </c>
      <c r="C851" t="s">
        <v>65</v>
      </c>
      <c r="D851" t="s">
        <v>1079</v>
      </c>
      <c r="E851">
        <v>23</v>
      </c>
      <c r="F851">
        <v>76</v>
      </c>
      <c r="G851">
        <v>70</v>
      </c>
      <c r="H851" s="1">
        <v>5</v>
      </c>
      <c r="I851" s="2">
        <v>45554</v>
      </c>
      <c r="J851" t="s">
        <v>2177</v>
      </c>
      <c r="K851">
        <v>97</v>
      </c>
      <c r="L851" t="str">
        <f>IF(Table1[[#This Row],[Sales_Volume]]&gt;Table1[[#This Row],[Stock_Quantity]],"Pending","Fulfilled")</f>
        <v>Pending</v>
      </c>
      <c r="M851">
        <v>3</v>
      </c>
      <c r="N851">
        <v>38</v>
      </c>
      <c r="O851" t="str">
        <f>IF(Table1[[#This Row],[Stock_Quantity]]&lt;=Table1[[#This Row],[Reorder_Level]],"Reoeder required","Sufficient")</f>
        <v>Reoeder required</v>
      </c>
      <c r="P851" t="str">
        <f>IF(Table1[[#This Row],[Stock_Quantity]]=0,"Out of stock","Available")</f>
        <v>Available</v>
      </c>
    </row>
    <row r="852" spans="1:16" x14ac:dyDescent="0.3">
      <c r="A852" t="s">
        <v>2178</v>
      </c>
      <c r="B852" t="s">
        <v>876</v>
      </c>
      <c r="C852" t="s">
        <v>99</v>
      </c>
      <c r="D852" t="s">
        <v>998</v>
      </c>
      <c r="E852">
        <v>35</v>
      </c>
      <c r="F852">
        <v>72</v>
      </c>
      <c r="G852">
        <v>70</v>
      </c>
      <c r="H852" s="1">
        <v>20</v>
      </c>
      <c r="I852" s="2">
        <v>45386</v>
      </c>
      <c r="J852" t="s">
        <v>2179</v>
      </c>
      <c r="K852">
        <v>74</v>
      </c>
      <c r="L852" t="str">
        <f>IF(Table1[[#This Row],[Sales_Volume]]&gt;Table1[[#This Row],[Stock_Quantity]],"Pending","Fulfilled")</f>
        <v>Pending</v>
      </c>
      <c r="M852">
        <v>2</v>
      </c>
      <c r="N852">
        <v>15</v>
      </c>
      <c r="O852" t="str">
        <f>IF(Table1[[#This Row],[Stock_Quantity]]&lt;=Table1[[#This Row],[Reorder_Level]],"Reoeder required","Sufficient")</f>
        <v>Reoeder required</v>
      </c>
      <c r="P852" t="str">
        <f>IF(Table1[[#This Row],[Stock_Quantity]]=0,"Out of stock","Available")</f>
        <v>Available</v>
      </c>
    </row>
    <row r="853" spans="1:16" x14ac:dyDescent="0.3">
      <c r="A853" t="s">
        <v>2180</v>
      </c>
      <c r="B853" t="s">
        <v>134</v>
      </c>
      <c r="C853" t="s">
        <v>31</v>
      </c>
      <c r="D853" t="s">
        <v>1255</v>
      </c>
      <c r="E853">
        <v>12</v>
      </c>
      <c r="F853">
        <v>93</v>
      </c>
      <c r="G853">
        <v>29</v>
      </c>
      <c r="H853" s="1">
        <v>1.75</v>
      </c>
      <c r="I853" s="2">
        <v>45632</v>
      </c>
      <c r="J853" t="s">
        <v>2181</v>
      </c>
      <c r="K853">
        <v>45</v>
      </c>
      <c r="L853" t="str">
        <f>IF(Table1[[#This Row],[Sales_Volume]]&gt;Table1[[#This Row],[Stock_Quantity]],"Pending","Fulfilled")</f>
        <v>Pending</v>
      </c>
      <c r="M853">
        <v>7</v>
      </c>
      <c r="N853">
        <v>12</v>
      </c>
      <c r="O853" t="str">
        <f>IF(Table1[[#This Row],[Stock_Quantity]]&lt;=Table1[[#This Row],[Reorder_Level]],"Reoeder required","Sufficient")</f>
        <v>Reoeder required</v>
      </c>
      <c r="P853" t="str">
        <f>IF(Table1[[#This Row],[Stock_Quantity]]=0,"Out of stock","Available")</f>
        <v>Available</v>
      </c>
    </row>
    <row r="854" spans="1:16" x14ac:dyDescent="0.3">
      <c r="A854" t="s">
        <v>2182</v>
      </c>
      <c r="B854" t="s">
        <v>549</v>
      </c>
      <c r="C854" t="s">
        <v>45</v>
      </c>
      <c r="D854" t="s">
        <v>811</v>
      </c>
      <c r="E854">
        <v>86</v>
      </c>
      <c r="F854">
        <v>23</v>
      </c>
      <c r="G854">
        <v>1</v>
      </c>
      <c r="H854" s="1">
        <v>9</v>
      </c>
      <c r="I854" s="2">
        <v>45431</v>
      </c>
      <c r="J854" t="s">
        <v>2183</v>
      </c>
      <c r="K854">
        <v>100</v>
      </c>
      <c r="L854" t="str">
        <f>IF(Table1[[#This Row],[Sales_Volume]]&gt;Table1[[#This Row],[Stock_Quantity]],"Pending","Fulfilled")</f>
        <v>Pending</v>
      </c>
      <c r="M854">
        <v>4</v>
      </c>
      <c r="N854">
        <v>86</v>
      </c>
      <c r="O854" t="str">
        <f>IF(Table1[[#This Row],[Stock_Quantity]]&lt;=Table1[[#This Row],[Reorder_Level]],"Reoeder required","Sufficient")</f>
        <v>Sufficient</v>
      </c>
      <c r="P854" t="str">
        <f>IF(Table1[[#This Row],[Stock_Quantity]]=0,"Out of stock","Available")</f>
        <v>Available</v>
      </c>
    </row>
    <row r="855" spans="1:16" x14ac:dyDescent="0.3">
      <c r="A855" t="s">
        <v>2184</v>
      </c>
      <c r="B855" t="s">
        <v>786</v>
      </c>
      <c r="C855" t="s">
        <v>99</v>
      </c>
      <c r="D855" t="s">
        <v>375</v>
      </c>
      <c r="E855">
        <v>91</v>
      </c>
      <c r="F855">
        <v>96</v>
      </c>
      <c r="G855">
        <v>90</v>
      </c>
      <c r="H855" s="1">
        <v>7.5</v>
      </c>
      <c r="I855" s="2">
        <v>45515</v>
      </c>
      <c r="J855" t="s">
        <v>2185</v>
      </c>
      <c r="K855">
        <v>90</v>
      </c>
      <c r="L855" t="str">
        <f>IF(Table1[[#This Row],[Sales_Volume]]&gt;Table1[[#This Row],[Stock_Quantity]],"Pending","Fulfilled")</f>
        <v>Fulfilled</v>
      </c>
      <c r="M855">
        <v>1</v>
      </c>
      <c r="N855">
        <v>75</v>
      </c>
      <c r="O855" t="str">
        <f>IF(Table1[[#This Row],[Stock_Quantity]]&lt;=Table1[[#This Row],[Reorder_Level]],"Reoeder required","Sufficient")</f>
        <v>Reoeder required</v>
      </c>
      <c r="P855" t="str">
        <f>IF(Table1[[#This Row],[Stock_Quantity]]=0,"Out of stock","Available")</f>
        <v>Available</v>
      </c>
    </row>
    <row r="856" spans="1:16" x14ac:dyDescent="0.3">
      <c r="A856" t="s">
        <v>2186</v>
      </c>
      <c r="B856" t="s">
        <v>895</v>
      </c>
      <c r="C856" t="s">
        <v>45</v>
      </c>
      <c r="D856" t="s">
        <v>1452</v>
      </c>
      <c r="E856">
        <v>23</v>
      </c>
      <c r="F856">
        <v>99</v>
      </c>
      <c r="G856">
        <v>97</v>
      </c>
      <c r="H856" s="1">
        <v>2</v>
      </c>
      <c r="I856" s="2">
        <v>45388</v>
      </c>
      <c r="J856" t="s">
        <v>2187</v>
      </c>
      <c r="K856">
        <v>68</v>
      </c>
      <c r="L856" t="str">
        <f>IF(Table1[[#This Row],[Sales_Volume]]&gt;Table1[[#This Row],[Stock_Quantity]],"Pending","Fulfilled")</f>
        <v>Pending</v>
      </c>
      <c r="M856">
        <v>7</v>
      </c>
      <c r="N856">
        <v>76</v>
      </c>
      <c r="O856" t="str">
        <f>IF(Table1[[#This Row],[Stock_Quantity]]&lt;=Table1[[#This Row],[Reorder_Level]],"Reoeder required","Sufficient")</f>
        <v>Reoeder required</v>
      </c>
      <c r="P856" t="str">
        <f>IF(Table1[[#This Row],[Stock_Quantity]]=0,"Out of stock","Available")</f>
        <v>Available</v>
      </c>
    </row>
    <row r="857" spans="1:16" x14ac:dyDescent="0.3">
      <c r="A857" t="s">
        <v>2188</v>
      </c>
      <c r="B857" t="s">
        <v>154</v>
      </c>
      <c r="C857" t="s">
        <v>31</v>
      </c>
      <c r="D857" t="s">
        <v>290</v>
      </c>
      <c r="E857">
        <v>98</v>
      </c>
      <c r="F857">
        <v>40</v>
      </c>
      <c r="G857">
        <v>100</v>
      </c>
      <c r="H857" s="1">
        <v>2</v>
      </c>
      <c r="I857" s="2">
        <v>45595</v>
      </c>
      <c r="J857" t="s">
        <v>2189</v>
      </c>
      <c r="K857">
        <v>46</v>
      </c>
      <c r="L857" t="str">
        <f>IF(Table1[[#This Row],[Sales_Volume]]&gt;Table1[[#This Row],[Stock_Quantity]],"Pending","Fulfilled")</f>
        <v>Fulfilled</v>
      </c>
      <c r="M857">
        <v>2</v>
      </c>
      <c r="N857">
        <v>9</v>
      </c>
      <c r="O857" t="str">
        <f>IF(Table1[[#This Row],[Stock_Quantity]]&lt;=Table1[[#This Row],[Reorder_Level]],"Reoeder required","Sufficient")</f>
        <v>Sufficient</v>
      </c>
      <c r="P857" t="str">
        <f>IF(Table1[[#This Row],[Stock_Quantity]]=0,"Out of stock","Available")</f>
        <v>Available</v>
      </c>
    </row>
    <row r="858" spans="1:16" x14ac:dyDescent="0.3">
      <c r="A858" t="s">
        <v>2190</v>
      </c>
      <c r="B858" t="s">
        <v>1640</v>
      </c>
      <c r="C858" t="s">
        <v>31</v>
      </c>
      <c r="D858" t="s">
        <v>69</v>
      </c>
      <c r="E858">
        <v>29</v>
      </c>
      <c r="F858">
        <v>66</v>
      </c>
      <c r="G858">
        <v>21</v>
      </c>
      <c r="H858" s="1">
        <v>8</v>
      </c>
      <c r="I858" s="2">
        <v>45484</v>
      </c>
      <c r="J858" t="s">
        <v>2191</v>
      </c>
      <c r="K858">
        <v>74</v>
      </c>
      <c r="L858" t="str">
        <f>IF(Table1[[#This Row],[Sales_Volume]]&gt;Table1[[#This Row],[Stock_Quantity]],"Pending","Fulfilled")</f>
        <v>Pending</v>
      </c>
      <c r="M858">
        <v>6</v>
      </c>
      <c r="N858">
        <v>93</v>
      </c>
      <c r="O858" t="str">
        <f>IF(Table1[[#This Row],[Stock_Quantity]]&lt;=Table1[[#This Row],[Reorder_Level]],"Reoeder required","Sufficient")</f>
        <v>Reoeder required</v>
      </c>
      <c r="P858" t="str">
        <f>IF(Table1[[#This Row],[Stock_Quantity]]=0,"Out of stock","Available")</f>
        <v>Available</v>
      </c>
    </row>
    <row r="859" spans="1:16" x14ac:dyDescent="0.3">
      <c r="A859" t="s">
        <v>2192</v>
      </c>
      <c r="B859" t="s">
        <v>405</v>
      </c>
      <c r="C859" t="s">
        <v>31</v>
      </c>
      <c r="D859" t="s">
        <v>2193</v>
      </c>
      <c r="E859">
        <v>32</v>
      </c>
      <c r="F859">
        <v>27</v>
      </c>
      <c r="G859">
        <v>26</v>
      </c>
      <c r="H859" s="1">
        <v>5</v>
      </c>
      <c r="I859" s="2">
        <v>45616</v>
      </c>
      <c r="J859" t="s">
        <v>2194</v>
      </c>
      <c r="K859">
        <v>38</v>
      </c>
      <c r="L859" t="str">
        <f>IF(Table1[[#This Row],[Sales_Volume]]&gt;Table1[[#This Row],[Stock_Quantity]],"Pending","Fulfilled")</f>
        <v>Pending</v>
      </c>
      <c r="M859">
        <v>7</v>
      </c>
      <c r="N859">
        <v>79</v>
      </c>
      <c r="O859" t="str">
        <f>IF(Table1[[#This Row],[Stock_Quantity]]&lt;=Table1[[#This Row],[Reorder_Level]],"Reoeder required","Sufficient")</f>
        <v>Sufficient</v>
      </c>
      <c r="P859" t="str">
        <f>IF(Table1[[#This Row],[Stock_Quantity]]=0,"Out of stock","Available")</f>
        <v>Available</v>
      </c>
    </row>
    <row r="860" spans="1:16" x14ac:dyDescent="0.3">
      <c r="A860" t="s">
        <v>2195</v>
      </c>
      <c r="B860" t="s">
        <v>130</v>
      </c>
      <c r="C860" t="s">
        <v>31</v>
      </c>
      <c r="D860" t="s">
        <v>751</v>
      </c>
      <c r="E860">
        <v>84</v>
      </c>
      <c r="F860">
        <v>74</v>
      </c>
      <c r="G860">
        <v>48</v>
      </c>
      <c r="H860" s="1">
        <v>4.5</v>
      </c>
      <c r="I860" s="2">
        <v>45582</v>
      </c>
      <c r="J860" t="s">
        <v>2196</v>
      </c>
      <c r="K860">
        <v>64</v>
      </c>
      <c r="L860" t="str">
        <f>IF(Table1[[#This Row],[Sales_Volume]]&gt;Table1[[#This Row],[Stock_Quantity]],"Pending","Fulfilled")</f>
        <v>Fulfilled</v>
      </c>
      <c r="M860">
        <v>8</v>
      </c>
      <c r="N860">
        <v>32</v>
      </c>
      <c r="O860" t="str">
        <f>IF(Table1[[#This Row],[Stock_Quantity]]&lt;=Table1[[#This Row],[Reorder_Level]],"Reoeder required","Sufficient")</f>
        <v>Sufficient</v>
      </c>
      <c r="P860" t="str">
        <f>IF(Table1[[#This Row],[Stock_Quantity]]=0,"Out of stock","Available")</f>
        <v>Available</v>
      </c>
    </row>
    <row r="861" spans="1:16" x14ac:dyDescent="0.3">
      <c r="A861" t="s">
        <v>2197</v>
      </c>
      <c r="B861" t="s">
        <v>914</v>
      </c>
      <c r="C861" t="s">
        <v>45</v>
      </c>
      <c r="D861" t="s">
        <v>473</v>
      </c>
      <c r="E861">
        <v>86</v>
      </c>
      <c r="F861">
        <v>20</v>
      </c>
      <c r="G861">
        <v>67</v>
      </c>
      <c r="H861" s="1">
        <v>1.75</v>
      </c>
      <c r="I861" s="2">
        <v>45480</v>
      </c>
      <c r="J861" t="s">
        <v>2198</v>
      </c>
      <c r="K861">
        <v>83</v>
      </c>
      <c r="L861" t="str">
        <f>IF(Table1[[#This Row],[Sales_Volume]]&gt;Table1[[#This Row],[Stock_Quantity]],"Pending","Fulfilled")</f>
        <v>Fulfilled</v>
      </c>
      <c r="M861">
        <v>4</v>
      </c>
      <c r="N861">
        <v>82</v>
      </c>
      <c r="O861" t="str">
        <f>IF(Table1[[#This Row],[Stock_Quantity]]&lt;=Table1[[#This Row],[Reorder_Level]],"Reoeder required","Sufficient")</f>
        <v>Sufficient</v>
      </c>
      <c r="P861" t="str">
        <f>IF(Table1[[#This Row],[Stock_Quantity]]=0,"Out of stock","Available")</f>
        <v>Available</v>
      </c>
    </row>
    <row r="862" spans="1:16" x14ac:dyDescent="0.3">
      <c r="A862" t="s">
        <v>2199</v>
      </c>
      <c r="B862" t="s">
        <v>22</v>
      </c>
      <c r="C862" t="s">
        <v>13</v>
      </c>
      <c r="D862" t="s">
        <v>2060</v>
      </c>
      <c r="E862">
        <v>11</v>
      </c>
      <c r="F862">
        <v>58</v>
      </c>
      <c r="G862">
        <v>26</v>
      </c>
      <c r="H862" s="1">
        <v>6.2</v>
      </c>
      <c r="I862" s="2">
        <v>45629</v>
      </c>
      <c r="J862" t="s">
        <v>2200</v>
      </c>
      <c r="K862">
        <v>49</v>
      </c>
      <c r="L862" t="str">
        <f>IF(Table1[[#This Row],[Sales_Volume]]&gt;Table1[[#This Row],[Stock_Quantity]],"Pending","Fulfilled")</f>
        <v>Pending</v>
      </c>
      <c r="M862">
        <v>6</v>
      </c>
      <c r="N862">
        <v>34</v>
      </c>
      <c r="O862" t="str">
        <f>IF(Table1[[#This Row],[Stock_Quantity]]&lt;=Table1[[#This Row],[Reorder_Level]],"Reoeder required","Sufficient")</f>
        <v>Reoeder required</v>
      </c>
      <c r="P862" t="str">
        <f>IF(Table1[[#This Row],[Stock_Quantity]]=0,"Out of stock","Available")</f>
        <v>Available</v>
      </c>
    </row>
    <row r="863" spans="1:16" x14ac:dyDescent="0.3">
      <c r="A863" t="s">
        <v>2201</v>
      </c>
      <c r="B863" t="s">
        <v>588</v>
      </c>
      <c r="C863" t="s">
        <v>13</v>
      </c>
      <c r="D863" t="s">
        <v>687</v>
      </c>
      <c r="E863">
        <v>60</v>
      </c>
      <c r="F863">
        <v>69</v>
      </c>
      <c r="G863">
        <v>64</v>
      </c>
      <c r="H863" s="1">
        <v>2.75</v>
      </c>
      <c r="I863" s="2">
        <v>45360</v>
      </c>
      <c r="J863" t="s">
        <v>2202</v>
      </c>
      <c r="K863">
        <v>51</v>
      </c>
      <c r="L863" t="str">
        <f>IF(Table1[[#This Row],[Sales_Volume]]&gt;Table1[[#This Row],[Stock_Quantity]],"Pending","Fulfilled")</f>
        <v>Fulfilled</v>
      </c>
      <c r="M863">
        <v>7</v>
      </c>
      <c r="N863">
        <v>6</v>
      </c>
      <c r="O863" t="str">
        <f>IF(Table1[[#This Row],[Stock_Quantity]]&lt;=Table1[[#This Row],[Reorder_Level]],"Reoeder required","Sufficient")</f>
        <v>Reoeder required</v>
      </c>
      <c r="P863" t="str">
        <f>IF(Table1[[#This Row],[Stock_Quantity]]=0,"Out of stock","Available")</f>
        <v>Available</v>
      </c>
    </row>
    <row r="864" spans="1:16" x14ac:dyDescent="0.3">
      <c r="A864" t="s">
        <v>2203</v>
      </c>
      <c r="B864" t="s">
        <v>1151</v>
      </c>
      <c r="C864" t="s">
        <v>65</v>
      </c>
      <c r="D864" t="s">
        <v>961</v>
      </c>
      <c r="E864">
        <v>58</v>
      </c>
      <c r="F864">
        <v>48</v>
      </c>
      <c r="G864">
        <v>9</v>
      </c>
      <c r="H864" s="1">
        <v>3.5</v>
      </c>
      <c r="I864" s="2">
        <v>45507</v>
      </c>
      <c r="J864" t="s">
        <v>2204</v>
      </c>
      <c r="K864">
        <v>98</v>
      </c>
      <c r="L864" t="str">
        <f>IF(Table1[[#This Row],[Sales_Volume]]&gt;Table1[[#This Row],[Stock_Quantity]],"Pending","Fulfilled")</f>
        <v>Pending</v>
      </c>
      <c r="M864">
        <v>3</v>
      </c>
      <c r="N864">
        <v>69</v>
      </c>
      <c r="O864" t="str">
        <f>IF(Table1[[#This Row],[Stock_Quantity]]&lt;=Table1[[#This Row],[Reorder_Level]],"Reoeder required","Sufficient")</f>
        <v>Sufficient</v>
      </c>
      <c r="P864" t="str">
        <f>IF(Table1[[#This Row],[Stock_Quantity]]=0,"Out of stock","Available")</f>
        <v>Available</v>
      </c>
    </row>
    <row r="865" spans="1:16" x14ac:dyDescent="0.3">
      <c r="A865" t="s">
        <v>2205</v>
      </c>
      <c r="B865" t="s">
        <v>252</v>
      </c>
      <c r="C865" t="s">
        <v>45</v>
      </c>
      <c r="D865" t="s">
        <v>443</v>
      </c>
      <c r="E865">
        <v>64</v>
      </c>
      <c r="F865">
        <v>95</v>
      </c>
      <c r="G865">
        <v>62</v>
      </c>
      <c r="H865" s="1">
        <v>6</v>
      </c>
      <c r="I865" s="2">
        <v>45526</v>
      </c>
      <c r="J865" t="s">
        <v>2206</v>
      </c>
      <c r="K865">
        <v>55</v>
      </c>
      <c r="L865" t="str">
        <f>IF(Table1[[#This Row],[Sales_Volume]]&gt;Table1[[#This Row],[Stock_Quantity]],"Pending","Fulfilled")</f>
        <v>Fulfilled</v>
      </c>
      <c r="M865">
        <v>2</v>
      </c>
      <c r="N865">
        <v>1</v>
      </c>
      <c r="O865" t="str">
        <f>IF(Table1[[#This Row],[Stock_Quantity]]&lt;=Table1[[#This Row],[Reorder_Level]],"Reoeder required","Sufficient")</f>
        <v>Reoeder required</v>
      </c>
      <c r="P865" t="str">
        <f>IF(Table1[[#This Row],[Stock_Quantity]]=0,"Out of stock","Available")</f>
        <v>Available</v>
      </c>
    </row>
    <row r="866" spans="1:16" x14ac:dyDescent="0.3">
      <c r="A866" t="s">
        <v>2207</v>
      </c>
      <c r="B866" t="s">
        <v>459</v>
      </c>
      <c r="C866" t="s">
        <v>40</v>
      </c>
      <c r="D866" t="s">
        <v>719</v>
      </c>
      <c r="E866">
        <v>19</v>
      </c>
      <c r="F866">
        <v>80</v>
      </c>
      <c r="G866">
        <v>87</v>
      </c>
      <c r="H866" s="1">
        <v>2.2999999999999998</v>
      </c>
      <c r="I866" s="2">
        <v>45588</v>
      </c>
      <c r="J866" t="s">
        <v>2208</v>
      </c>
      <c r="K866">
        <v>33</v>
      </c>
      <c r="L866" t="str">
        <f>IF(Table1[[#This Row],[Sales_Volume]]&gt;Table1[[#This Row],[Stock_Quantity]],"Pending","Fulfilled")</f>
        <v>Pending</v>
      </c>
      <c r="M866">
        <v>3</v>
      </c>
      <c r="N866">
        <v>38</v>
      </c>
      <c r="O866" t="str">
        <f>IF(Table1[[#This Row],[Stock_Quantity]]&lt;=Table1[[#This Row],[Reorder_Level]],"Reoeder required","Sufficient")</f>
        <v>Reoeder required</v>
      </c>
      <c r="P866" t="str">
        <f>IF(Table1[[#This Row],[Stock_Quantity]]=0,"Out of stock","Available")</f>
        <v>Available</v>
      </c>
    </row>
    <row r="867" spans="1:16" x14ac:dyDescent="0.3">
      <c r="A867" t="s">
        <v>2209</v>
      </c>
      <c r="B867" t="s">
        <v>1640</v>
      </c>
      <c r="C867" t="s">
        <v>31</v>
      </c>
      <c r="D867" t="s">
        <v>104</v>
      </c>
      <c r="E867">
        <v>43</v>
      </c>
      <c r="F867">
        <v>41</v>
      </c>
      <c r="G867">
        <v>100</v>
      </c>
      <c r="H867" s="1">
        <v>8</v>
      </c>
      <c r="I867" s="2">
        <v>45390</v>
      </c>
      <c r="J867" t="s">
        <v>2210</v>
      </c>
      <c r="K867">
        <v>27</v>
      </c>
      <c r="L867" t="str">
        <f>IF(Table1[[#This Row],[Sales_Volume]]&gt;Table1[[#This Row],[Stock_Quantity]],"Pending","Fulfilled")</f>
        <v>Fulfilled</v>
      </c>
      <c r="M867">
        <v>2</v>
      </c>
      <c r="N867">
        <v>78</v>
      </c>
      <c r="O867" t="str">
        <f>IF(Table1[[#This Row],[Stock_Quantity]]&lt;=Table1[[#This Row],[Reorder_Level]],"Reoeder required","Sufficient")</f>
        <v>Sufficient</v>
      </c>
      <c r="P867" t="str">
        <f>IF(Table1[[#This Row],[Stock_Quantity]]=0,"Out of stock","Available")</f>
        <v>Available</v>
      </c>
    </row>
    <row r="868" spans="1:16" x14ac:dyDescent="0.3">
      <c r="A868" t="s">
        <v>2211</v>
      </c>
      <c r="B868" t="s">
        <v>334</v>
      </c>
      <c r="C868" t="s">
        <v>40</v>
      </c>
      <c r="D868" t="s">
        <v>302</v>
      </c>
      <c r="E868">
        <v>38</v>
      </c>
      <c r="F868">
        <v>62</v>
      </c>
      <c r="G868">
        <v>47</v>
      </c>
      <c r="H868" s="1">
        <v>4</v>
      </c>
      <c r="I868" s="2">
        <v>45638</v>
      </c>
      <c r="J868" t="s">
        <v>2212</v>
      </c>
      <c r="K868">
        <v>41</v>
      </c>
      <c r="L868" t="str">
        <f>IF(Table1[[#This Row],[Sales_Volume]]&gt;Table1[[#This Row],[Stock_Quantity]],"Pending","Fulfilled")</f>
        <v>Pending</v>
      </c>
      <c r="M868">
        <v>7</v>
      </c>
      <c r="N868">
        <v>34</v>
      </c>
      <c r="O868" t="str">
        <f>IF(Table1[[#This Row],[Stock_Quantity]]&lt;=Table1[[#This Row],[Reorder_Level]],"Reoeder required","Sufficient")</f>
        <v>Reoeder required</v>
      </c>
      <c r="P868" t="str">
        <f>IF(Table1[[#This Row],[Stock_Quantity]]=0,"Out of stock","Available")</f>
        <v>Available</v>
      </c>
    </row>
    <row r="869" spans="1:16" x14ac:dyDescent="0.3">
      <c r="A869" t="s">
        <v>2213</v>
      </c>
      <c r="B869" t="s">
        <v>482</v>
      </c>
      <c r="C869" t="s">
        <v>45</v>
      </c>
      <c r="D869" t="s">
        <v>1126</v>
      </c>
      <c r="E869">
        <v>70</v>
      </c>
      <c r="F869">
        <v>66</v>
      </c>
      <c r="G869">
        <v>74</v>
      </c>
      <c r="H869" s="1">
        <v>2.5</v>
      </c>
      <c r="I869" s="2">
        <v>45484</v>
      </c>
      <c r="J869" t="s">
        <v>2214</v>
      </c>
      <c r="K869">
        <v>47</v>
      </c>
      <c r="L869" t="str">
        <f>IF(Table1[[#This Row],[Sales_Volume]]&gt;Table1[[#This Row],[Stock_Quantity]],"Pending","Fulfilled")</f>
        <v>Fulfilled</v>
      </c>
      <c r="M869">
        <v>1</v>
      </c>
      <c r="N869">
        <v>77</v>
      </c>
      <c r="O869" t="str">
        <f>IF(Table1[[#This Row],[Stock_Quantity]]&lt;=Table1[[#This Row],[Reorder_Level]],"Reoeder required","Sufficient")</f>
        <v>Sufficient</v>
      </c>
      <c r="P869" t="str">
        <f>IF(Table1[[#This Row],[Stock_Quantity]]=0,"Out of stock","Available")</f>
        <v>Available</v>
      </c>
    </row>
    <row r="870" spans="1:16" x14ac:dyDescent="0.3">
      <c r="A870" t="s">
        <v>2215</v>
      </c>
      <c r="B870" t="s">
        <v>573</v>
      </c>
      <c r="C870" t="s">
        <v>31</v>
      </c>
      <c r="D870" t="s">
        <v>611</v>
      </c>
      <c r="E870">
        <v>18</v>
      </c>
      <c r="F870">
        <v>3</v>
      </c>
      <c r="G870">
        <v>39</v>
      </c>
      <c r="H870" s="1">
        <v>5</v>
      </c>
      <c r="I870" s="2">
        <v>45704</v>
      </c>
      <c r="J870" t="s">
        <v>2216</v>
      </c>
      <c r="K870">
        <v>58</v>
      </c>
      <c r="L870" t="str">
        <f>IF(Table1[[#This Row],[Sales_Volume]]&gt;Table1[[#This Row],[Stock_Quantity]],"Pending","Fulfilled")</f>
        <v>Pending</v>
      </c>
      <c r="M870">
        <v>5</v>
      </c>
      <c r="N870">
        <v>61</v>
      </c>
      <c r="O870" t="str">
        <f>IF(Table1[[#This Row],[Stock_Quantity]]&lt;=Table1[[#This Row],[Reorder_Level]],"Reoeder required","Sufficient")</f>
        <v>Sufficient</v>
      </c>
      <c r="P870" t="str">
        <f>IF(Table1[[#This Row],[Stock_Quantity]]=0,"Out of stock","Available")</f>
        <v>Available</v>
      </c>
    </row>
    <row r="871" spans="1:16" x14ac:dyDescent="0.3">
      <c r="A871" t="s">
        <v>2217</v>
      </c>
      <c r="B871" t="s">
        <v>861</v>
      </c>
      <c r="C871" t="s">
        <v>13</v>
      </c>
      <c r="D871" t="s">
        <v>57</v>
      </c>
      <c r="E871">
        <v>46</v>
      </c>
      <c r="F871">
        <v>81</v>
      </c>
      <c r="G871">
        <v>47</v>
      </c>
      <c r="H871" s="1">
        <v>2.5</v>
      </c>
      <c r="I871" s="2">
        <v>45546</v>
      </c>
      <c r="J871" t="s">
        <v>2218</v>
      </c>
      <c r="K871">
        <v>48</v>
      </c>
      <c r="L871" t="str">
        <f>IF(Table1[[#This Row],[Sales_Volume]]&gt;Table1[[#This Row],[Stock_Quantity]],"Pending","Fulfilled")</f>
        <v>Pending</v>
      </c>
      <c r="M871">
        <v>5</v>
      </c>
      <c r="N871">
        <v>48</v>
      </c>
      <c r="O871" t="str">
        <f>IF(Table1[[#This Row],[Stock_Quantity]]&lt;=Table1[[#This Row],[Reorder_Level]],"Reoeder required","Sufficient")</f>
        <v>Reoeder required</v>
      </c>
      <c r="P871" t="str">
        <f>IF(Table1[[#This Row],[Stock_Quantity]]=0,"Out of stock","Available")</f>
        <v>Available</v>
      </c>
    </row>
    <row r="872" spans="1:16" x14ac:dyDescent="0.3">
      <c r="A872" t="s">
        <v>2219</v>
      </c>
      <c r="B872" t="s">
        <v>17</v>
      </c>
      <c r="C872" t="s">
        <v>18</v>
      </c>
      <c r="D872" t="s">
        <v>2220</v>
      </c>
      <c r="E872">
        <v>78</v>
      </c>
      <c r="F872">
        <v>34</v>
      </c>
      <c r="G872">
        <v>39</v>
      </c>
      <c r="H872" s="1">
        <v>20.5</v>
      </c>
      <c r="I872" s="2">
        <v>45530</v>
      </c>
      <c r="J872" t="s">
        <v>2221</v>
      </c>
      <c r="K872">
        <v>62</v>
      </c>
      <c r="L872" t="str">
        <f>IF(Table1[[#This Row],[Sales_Volume]]&gt;Table1[[#This Row],[Stock_Quantity]],"Pending","Fulfilled")</f>
        <v>Fulfilled</v>
      </c>
      <c r="M872">
        <v>1</v>
      </c>
      <c r="N872">
        <v>2</v>
      </c>
      <c r="O872" t="str">
        <f>IF(Table1[[#This Row],[Stock_Quantity]]&lt;=Table1[[#This Row],[Reorder_Level]],"Reoeder required","Sufficient")</f>
        <v>Sufficient</v>
      </c>
      <c r="P872" t="str">
        <f>IF(Table1[[#This Row],[Stock_Quantity]]=0,"Out of stock","Available")</f>
        <v>Available</v>
      </c>
    </row>
    <row r="873" spans="1:16" x14ac:dyDescent="0.3">
      <c r="A873" t="s">
        <v>2222</v>
      </c>
      <c r="B873" t="s">
        <v>459</v>
      </c>
      <c r="C873" t="s">
        <v>40</v>
      </c>
      <c r="D873" t="s">
        <v>302</v>
      </c>
      <c r="E873">
        <v>53</v>
      </c>
      <c r="F873">
        <v>20</v>
      </c>
      <c r="G873">
        <v>75</v>
      </c>
      <c r="H873" s="1">
        <v>2.2999999999999998</v>
      </c>
      <c r="I873" s="2">
        <v>45566</v>
      </c>
      <c r="J873" t="s">
        <v>2223</v>
      </c>
      <c r="K873">
        <v>83</v>
      </c>
      <c r="L873" t="str">
        <f>IF(Table1[[#This Row],[Sales_Volume]]&gt;Table1[[#This Row],[Stock_Quantity]],"Pending","Fulfilled")</f>
        <v>Pending</v>
      </c>
      <c r="M873">
        <v>7</v>
      </c>
      <c r="N873">
        <v>77</v>
      </c>
      <c r="O873" t="str">
        <f>IF(Table1[[#This Row],[Stock_Quantity]]&lt;=Table1[[#This Row],[Reorder_Level]],"Reoeder required","Sufficient")</f>
        <v>Sufficient</v>
      </c>
      <c r="P873" t="str">
        <f>IF(Table1[[#This Row],[Stock_Quantity]]=0,"Out of stock","Available")</f>
        <v>Available</v>
      </c>
    </row>
    <row r="874" spans="1:16" x14ac:dyDescent="0.3">
      <c r="A874" t="s">
        <v>2224</v>
      </c>
      <c r="B874" t="s">
        <v>150</v>
      </c>
      <c r="C874" t="s">
        <v>99</v>
      </c>
      <c r="D874" t="s">
        <v>501</v>
      </c>
      <c r="E874">
        <v>67</v>
      </c>
      <c r="F874">
        <v>71</v>
      </c>
      <c r="G874">
        <v>4</v>
      </c>
      <c r="H874" s="1">
        <v>9</v>
      </c>
      <c r="I874" s="2">
        <v>45396</v>
      </c>
      <c r="J874" t="s">
        <v>2225</v>
      </c>
      <c r="K874">
        <v>76</v>
      </c>
      <c r="L874" t="str">
        <f>IF(Table1[[#This Row],[Sales_Volume]]&gt;Table1[[#This Row],[Stock_Quantity]],"Pending","Fulfilled")</f>
        <v>Pending</v>
      </c>
      <c r="M874">
        <v>4</v>
      </c>
      <c r="N874">
        <v>34</v>
      </c>
      <c r="O874" t="str">
        <f>IF(Table1[[#This Row],[Stock_Quantity]]&lt;=Table1[[#This Row],[Reorder_Level]],"Reoeder required","Sufficient")</f>
        <v>Reoeder required</v>
      </c>
      <c r="P874" t="str">
        <f>IF(Table1[[#This Row],[Stock_Quantity]]=0,"Out of stock","Available")</f>
        <v>Available</v>
      </c>
    </row>
    <row r="875" spans="1:16" x14ac:dyDescent="0.3">
      <c r="A875" t="s">
        <v>2226</v>
      </c>
      <c r="B875" t="s">
        <v>1662</v>
      </c>
      <c r="C875" t="s">
        <v>45</v>
      </c>
      <c r="D875" t="s">
        <v>1790</v>
      </c>
      <c r="E875">
        <v>36</v>
      </c>
      <c r="F875">
        <v>30</v>
      </c>
      <c r="G875">
        <v>44</v>
      </c>
      <c r="H875" s="1">
        <v>0.2</v>
      </c>
      <c r="I875" s="2">
        <v>45354</v>
      </c>
      <c r="J875" t="s">
        <v>2227</v>
      </c>
      <c r="K875">
        <v>68</v>
      </c>
      <c r="L875" t="str">
        <f>IF(Table1[[#This Row],[Sales_Volume]]&gt;Table1[[#This Row],[Stock_Quantity]],"Pending","Fulfilled")</f>
        <v>Pending</v>
      </c>
      <c r="M875">
        <v>5</v>
      </c>
      <c r="N875">
        <v>88</v>
      </c>
      <c r="O875" t="str">
        <f>IF(Table1[[#This Row],[Stock_Quantity]]&lt;=Table1[[#This Row],[Reorder_Level]],"Reoeder required","Sufficient")</f>
        <v>Sufficient</v>
      </c>
      <c r="P875" t="str">
        <f>IF(Table1[[#This Row],[Stock_Quantity]]=0,"Out of stock","Available")</f>
        <v>Available</v>
      </c>
    </row>
    <row r="876" spans="1:16" x14ac:dyDescent="0.3">
      <c r="A876" t="s">
        <v>2228</v>
      </c>
      <c r="B876" t="s">
        <v>588</v>
      </c>
      <c r="C876" t="s">
        <v>13</v>
      </c>
      <c r="D876" t="s">
        <v>2193</v>
      </c>
      <c r="E876">
        <v>39</v>
      </c>
      <c r="F876">
        <v>53</v>
      </c>
      <c r="G876">
        <v>64</v>
      </c>
      <c r="H876" s="1">
        <v>2.75</v>
      </c>
      <c r="I876" s="2">
        <v>45475</v>
      </c>
      <c r="J876" t="s">
        <v>2229</v>
      </c>
      <c r="K876">
        <v>92</v>
      </c>
      <c r="L876" t="str">
        <f>IF(Table1[[#This Row],[Sales_Volume]]&gt;Table1[[#This Row],[Stock_Quantity]],"Pending","Fulfilled")</f>
        <v>Pending</v>
      </c>
      <c r="M876">
        <v>8</v>
      </c>
      <c r="N876">
        <v>8</v>
      </c>
      <c r="O876" t="str">
        <f>IF(Table1[[#This Row],[Stock_Quantity]]&lt;=Table1[[#This Row],[Reorder_Level]],"Reoeder required","Sufficient")</f>
        <v>Reoeder required</v>
      </c>
      <c r="P876" t="str">
        <f>IF(Table1[[#This Row],[Stock_Quantity]]=0,"Out of stock","Available")</f>
        <v>Available</v>
      </c>
    </row>
    <row r="877" spans="1:16" x14ac:dyDescent="0.3">
      <c r="A877" t="s">
        <v>2230</v>
      </c>
      <c r="B877" t="s">
        <v>1137</v>
      </c>
      <c r="C877" t="s">
        <v>31</v>
      </c>
      <c r="D877" t="s">
        <v>1790</v>
      </c>
      <c r="E877">
        <v>95</v>
      </c>
      <c r="F877">
        <v>87</v>
      </c>
      <c r="G877">
        <v>13</v>
      </c>
      <c r="H877" s="1">
        <v>2</v>
      </c>
      <c r="I877" s="2">
        <v>45353</v>
      </c>
      <c r="J877" t="s">
        <v>2231</v>
      </c>
      <c r="K877">
        <v>61</v>
      </c>
      <c r="L877" t="str">
        <f>IF(Table1[[#This Row],[Sales_Volume]]&gt;Table1[[#This Row],[Stock_Quantity]],"Pending","Fulfilled")</f>
        <v>Fulfilled</v>
      </c>
      <c r="M877">
        <v>4</v>
      </c>
      <c r="N877">
        <v>4</v>
      </c>
      <c r="O877" t="str">
        <f>IF(Table1[[#This Row],[Stock_Quantity]]&lt;=Table1[[#This Row],[Reorder_Level]],"Reoeder required","Sufficient")</f>
        <v>Sufficient</v>
      </c>
      <c r="P877" t="str">
        <f>IF(Table1[[#This Row],[Stock_Quantity]]=0,"Out of stock","Available")</f>
        <v>Available</v>
      </c>
    </row>
    <row r="878" spans="1:16" x14ac:dyDescent="0.3">
      <c r="A878" t="s">
        <v>2232</v>
      </c>
      <c r="B878" t="s">
        <v>385</v>
      </c>
      <c r="C878" t="s">
        <v>13</v>
      </c>
      <c r="D878" t="s">
        <v>347</v>
      </c>
      <c r="E878">
        <v>12</v>
      </c>
      <c r="F878">
        <v>56</v>
      </c>
      <c r="G878">
        <v>92</v>
      </c>
      <c r="H878" s="1">
        <v>9.5</v>
      </c>
      <c r="I878" s="2">
        <v>45641</v>
      </c>
      <c r="J878" t="s">
        <v>2233</v>
      </c>
      <c r="K878">
        <v>56</v>
      </c>
      <c r="L878" t="str">
        <f>IF(Table1[[#This Row],[Sales_Volume]]&gt;Table1[[#This Row],[Stock_Quantity]],"Pending","Fulfilled")</f>
        <v>Pending</v>
      </c>
      <c r="M878">
        <v>5</v>
      </c>
      <c r="N878">
        <v>6</v>
      </c>
      <c r="O878" t="str">
        <f>IF(Table1[[#This Row],[Stock_Quantity]]&lt;=Table1[[#This Row],[Reorder_Level]],"Reoeder required","Sufficient")</f>
        <v>Reoeder required</v>
      </c>
      <c r="P878" t="str">
        <f>IF(Table1[[#This Row],[Stock_Quantity]]=0,"Out of stock","Available")</f>
        <v>Available</v>
      </c>
    </row>
    <row r="879" spans="1:16" x14ac:dyDescent="0.3">
      <c r="A879" t="s">
        <v>2234</v>
      </c>
      <c r="B879" t="s">
        <v>1093</v>
      </c>
      <c r="C879" t="s">
        <v>13</v>
      </c>
      <c r="D879" t="s">
        <v>763</v>
      </c>
      <c r="E879">
        <v>98</v>
      </c>
      <c r="F879">
        <v>30</v>
      </c>
      <c r="G879">
        <v>39</v>
      </c>
      <c r="H879" s="1">
        <v>10</v>
      </c>
      <c r="I879" s="2">
        <v>45396</v>
      </c>
      <c r="J879" t="s">
        <v>2235</v>
      </c>
      <c r="K879">
        <v>31</v>
      </c>
      <c r="L879" t="str">
        <f>IF(Table1[[#This Row],[Sales_Volume]]&gt;Table1[[#This Row],[Stock_Quantity]],"Pending","Fulfilled")</f>
        <v>Fulfilled</v>
      </c>
      <c r="M879">
        <v>4</v>
      </c>
      <c r="N879">
        <v>26</v>
      </c>
      <c r="O879" t="str">
        <f>IF(Table1[[#This Row],[Stock_Quantity]]&lt;=Table1[[#This Row],[Reorder_Level]],"Reoeder required","Sufficient")</f>
        <v>Sufficient</v>
      </c>
      <c r="P879" t="str">
        <f>IF(Table1[[#This Row],[Stock_Quantity]]=0,"Out of stock","Available")</f>
        <v>Available</v>
      </c>
    </row>
    <row r="880" spans="1:16" x14ac:dyDescent="0.3">
      <c r="A880" t="s">
        <v>2236</v>
      </c>
      <c r="B880" t="s">
        <v>359</v>
      </c>
      <c r="C880" t="s">
        <v>13</v>
      </c>
      <c r="D880" t="s">
        <v>969</v>
      </c>
      <c r="E880">
        <v>50</v>
      </c>
      <c r="F880">
        <v>14</v>
      </c>
      <c r="G880">
        <v>99</v>
      </c>
      <c r="H880" s="1">
        <v>4.75</v>
      </c>
      <c r="I880" s="2">
        <v>45379</v>
      </c>
      <c r="J880" t="s">
        <v>2237</v>
      </c>
      <c r="K880">
        <v>52</v>
      </c>
      <c r="L880" t="str">
        <f>IF(Table1[[#This Row],[Sales_Volume]]&gt;Table1[[#This Row],[Stock_Quantity]],"Pending","Fulfilled")</f>
        <v>Pending</v>
      </c>
      <c r="M880">
        <v>6</v>
      </c>
      <c r="N880">
        <v>75</v>
      </c>
      <c r="O880" t="str">
        <f>IF(Table1[[#This Row],[Stock_Quantity]]&lt;=Table1[[#This Row],[Reorder_Level]],"Reoeder required","Sufficient")</f>
        <v>Sufficient</v>
      </c>
      <c r="P880" t="str">
        <f>IF(Table1[[#This Row],[Stock_Quantity]]=0,"Out of stock","Available")</f>
        <v>Available</v>
      </c>
    </row>
    <row r="881" spans="1:16" x14ac:dyDescent="0.3">
      <c r="A881" t="s">
        <v>2238</v>
      </c>
      <c r="B881" t="s">
        <v>164</v>
      </c>
      <c r="C881" t="s">
        <v>31</v>
      </c>
      <c r="D881" t="s">
        <v>343</v>
      </c>
      <c r="E881">
        <v>98</v>
      </c>
      <c r="F881">
        <v>14</v>
      </c>
      <c r="G881">
        <v>11</v>
      </c>
      <c r="H881" s="1">
        <v>2.5</v>
      </c>
      <c r="I881" s="2">
        <v>45627</v>
      </c>
      <c r="J881" t="s">
        <v>2239</v>
      </c>
      <c r="K881">
        <v>48</v>
      </c>
      <c r="L881" t="str">
        <f>IF(Table1[[#This Row],[Sales_Volume]]&gt;Table1[[#This Row],[Stock_Quantity]],"Pending","Fulfilled")</f>
        <v>Fulfilled</v>
      </c>
      <c r="M881">
        <v>2</v>
      </c>
      <c r="N881">
        <v>38</v>
      </c>
      <c r="O881" t="str">
        <f>IF(Table1[[#This Row],[Stock_Quantity]]&lt;=Table1[[#This Row],[Reorder_Level]],"Reoeder required","Sufficient")</f>
        <v>Sufficient</v>
      </c>
      <c r="P881" t="str">
        <f>IF(Table1[[#This Row],[Stock_Quantity]]=0,"Out of stock","Available")</f>
        <v>Available</v>
      </c>
    </row>
    <row r="882" spans="1:16" x14ac:dyDescent="0.3">
      <c r="A882" t="s">
        <v>2240</v>
      </c>
      <c r="B882" t="s">
        <v>39</v>
      </c>
      <c r="C882" t="s">
        <v>40</v>
      </c>
      <c r="D882" t="s">
        <v>409</v>
      </c>
      <c r="E882">
        <v>28</v>
      </c>
      <c r="F882">
        <v>32</v>
      </c>
      <c r="G882">
        <v>71</v>
      </c>
      <c r="H882" s="1">
        <v>2.5</v>
      </c>
      <c r="I882" s="2">
        <v>45414</v>
      </c>
      <c r="J882" t="s">
        <v>2241</v>
      </c>
      <c r="K882">
        <v>32</v>
      </c>
      <c r="L882" t="str">
        <f>IF(Table1[[#This Row],[Sales_Volume]]&gt;Table1[[#This Row],[Stock_Quantity]],"Pending","Fulfilled")</f>
        <v>Pending</v>
      </c>
      <c r="M882">
        <v>7</v>
      </c>
      <c r="N882">
        <v>49</v>
      </c>
      <c r="O882" t="str">
        <f>IF(Table1[[#This Row],[Stock_Quantity]]&lt;=Table1[[#This Row],[Reorder_Level]],"Reoeder required","Sufficient")</f>
        <v>Reoeder required</v>
      </c>
      <c r="P882" t="str">
        <f>IF(Table1[[#This Row],[Stock_Quantity]]=0,"Out of stock","Available")</f>
        <v>Available</v>
      </c>
    </row>
    <row r="883" spans="1:16" x14ac:dyDescent="0.3">
      <c r="A883" t="s">
        <v>2242</v>
      </c>
      <c r="B883" t="s">
        <v>134</v>
      </c>
      <c r="C883" t="s">
        <v>31</v>
      </c>
      <c r="D883" t="s">
        <v>485</v>
      </c>
      <c r="E883">
        <v>67</v>
      </c>
      <c r="F883">
        <v>14</v>
      </c>
      <c r="G883">
        <v>25</v>
      </c>
      <c r="H883" s="1">
        <v>1.8</v>
      </c>
      <c r="I883" s="2">
        <v>45524</v>
      </c>
      <c r="J883" t="s">
        <v>2243</v>
      </c>
      <c r="K883">
        <v>81</v>
      </c>
      <c r="L883" t="str">
        <f>IF(Table1[[#This Row],[Sales_Volume]]&gt;Table1[[#This Row],[Stock_Quantity]],"Pending","Fulfilled")</f>
        <v>Pending</v>
      </c>
      <c r="M883">
        <v>8</v>
      </c>
      <c r="N883">
        <v>77</v>
      </c>
      <c r="O883" t="str">
        <f>IF(Table1[[#This Row],[Stock_Quantity]]&lt;=Table1[[#This Row],[Reorder_Level]],"Reoeder required","Sufficient")</f>
        <v>Sufficient</v>
      </c>
      <c r="P883" t="str">
        <f>IF(Table1[[#This Row],[Stock_Quantity]]=0,"Out of stock","Available")</f>
        <v>Available</v>
      </c>
    </row>
    <row r="884" spans="1:16" x14ac:dyDescent="0.3">
      <c r="A884" t="s">
        <v>2244</v>
      </c>
      <c r="B884" t="s">
        <v>154</v>
      </c>
      <c r="C884" t="s">
        <v>31</v>
      </c>
      <c r="D884" t="s">
        <v>1188</v>
      </c>
      <c r="E884">
        <v>20</v>
      </c>
      <c r="F884">
        <v>93</v>
      </c>
      <c r="G884">
        <v>37</v>
      </c>
      <c r="H884" s="1">
        <v>2</v>
      </c>
      <c r="I884" s="2">
        <v>45358</v>
      </c>
      <c r="J884" t="s">
        <v>2245</v>
      </c>
      <c r="K884">
        <v>23</v>
      </c>
      <c r="L884" t="str">
        <f>IF(Table1[[#This Row],[Sales_Volume]]&gt;Table1[[#This Row],[Stock_Quantity]],"Pending","Fulfilled")</f>
        <v>Pending</v>
      </c>
      <c r="M884">
        <v>2</v>
      </c>
      <c r="N884">
        <v>2</v>
      </c>
      <c r="O884" t="str">
        <f>IF(Table1[[#This Row],[Stock_Quantity]]&lt;=Table1[[#This Row],[Reorder_Level]],"Reoeder required","Sufficient")</f>
        <v>Reoeder required</v>
      </c>
      <c r="P884" t="str">
        <f>IF(Table1[[#This Row],[Stock_Quantity]]=0,"Out of stock","Available")</f>
        <v>Available</v>
      </c>
    </row>
    <row r="885" spans="1:16" x14ac:dyDescent="0.3">
      <c r="A885" t="s">
        <v>2246</v>
      </c>
      <c r="B885" t="s">
        <v>98</v>
      </c>
      <c r="C885" t="s">
        <v>99</v>
      </c>
      <c r="D885" t="s">
        <v>353</v>
      </c>
      <c r="E885">
        <v>67</v>
      </c>
      <c r="F885">
        <v>83</v>
      </c>
      <c r="G885">
        <v>90</v>
      </c>
      <c r="H885" s="1">
        <v>11.6</v>
      </c>
      <c r="I885" s="2">
        <v>45565</v>
      </c>
      <c r="J885" t="s">
        <v>2247</v>
      </c>
      <c r="K885">
        <v>66</v>
      </c>
      <c r="L885" t="str">
        <f>IF(Table1[[#This Row],[Sales_Volume]]&gt;Table1[[#This Row],[Stock_Quantity]],"Pending","Fulfilled")</f>
        <v>Fulfilled</v>
      </c>
      <c r="M885">
        <v>5</v>
      </c>
      <c r="N885">
        <v>77</v>
      </c>
      <c r="O885" t="str">
        <f>IF(Table1[[#This Row],[Stock_Quantity]]&lt;=Table1[[#This Row],[Reorder_Level]],"Reoeder required","Sufficient")</f>
        <v>Reoeder required</v>
      </c>
      <c r="P885" t="str">
        <f>IF(Table1[[#This Row],[Stock_Quantity]]=0,"Out of stock","Available")</f>
        <v>Available</v>
      </c>
    </row>
    <row r="886" spans="1:16" x14ac:dyDescent="0.3">
      <c r="A886" t="s">
        <v>2248</v>
      </c>
      <c r="B886" t="s">
        <v>119</v>
      </c>
      <c r="C886" t="s">
        <v>45</v>
      </c>
      <c r="D886" t="s">
        <v>775</v>
      </c>
      <c r="E886">
        <v>94</v>
      </c>
      <c r="F886">
        <v>60</v>
      </c>
      <c r="G886">
        <v>78</v>
      </c>
      <c r="H886" s="1">
        <v>0.8</v>
      </c>
      <c r="I886" s="2">
        <v>45358</v>
      </c>
      <c r="J886" t="s">
        <v>2249</v>
      </c>
      <c r="K886">
        <v>100</v>
      </c>
      <c r="L886" t="str">
        <f>IF(Table1[[#This Row],[Sales_Volume]]&gt;Table1[[#This Row],[Stock_Quantity]],"Pending","Fulfilled")</f>
        <v>Pending</v>
      </c>
      <c r="M886">
        <v>5</v>
      </c>
      <c r="N886">
        <v>42</v>
      </c>
      <c r="O886" t="str">
        <f>IF(Table1[[#This Row],[Stock_Quantity]]&lt;=Table1[[#This Row],[Reorder_Level]],"Reoeder required","Sufficient")</f>
        <v>Sufficient</v>
      </c>
      <c r="P886" t="str">
        <f>IF(Table1[[#This Row],[Stock_Quantity]]=0,"Out of stock","Available")</f>
        <v>Available</v>
      </c>
    </row>
    <row r="887" spans="1:16" x14ac:dyDescent="0.3">
      <c r="A887" t="s">
        <v>2250</v>
      </c>
      <c r="B887" t="s">
        <v>243</v>
      </c>
      <c r="C887" t="s">
        <v>18</v>
      </c>
      <c r="D887" t="s">
        <v>2251</v>
      </c>
      <c r="E887">
        <v>45</v>
      </c>
      <c r="F887">
        <v>58</v>
      </c>
      <c r="G887">
        <v>84</v>
      </c>
      <c r="H887" s="1">
        <v>5</v>
      </c>
      <c r="I887" s="2">
        <v>45372</v>
      </c>
      <c r="J887" t="s">
        <v>2252</v>
      </c>
      <c r="K887">
        <v>90</v>
      </c>
      <c r="L887" t="str">
        <f>IF(Table1[[#This Row],[Sales_Volume]]&gt;Table1[[#This Row],[Stock_Quantity]],"Pending","Fulfilled")</f>
        <v>Pending</v>
      </c>
      <c r="M887">
        <v>4</v>
      </c>
      <c r="N887">
        <v>67</v>
      </c>
      <c r="O887" t="str">
        <f>IF(Table1[[#This Row],[Stock_Quantity]]&lt;=Table1[[#This Row],[Reorder_Level]],"Reoeder required","Sufficient")</f>
        <v>Reoeder required</v>
      </c>
      <c r="P887" t="str">
        <f>IF(Table1[[#This Row],[Stock_Quantity]]=0,"Out of stock","Available")</f>
        <v>Available</v>
      </c>
    </row>
    <row r="888" spans="1:16" x14ac:dyDescent="0.3">
      <c r="A888" t="s">
        <v>2253</v>
      </c>
      <c r="B888" t="s">
        <v>610</v>
      </c>
      <c r="C888" t="s">
        <v>99</v>
      </c>
      <c r="D888" t="s">
        <v>290</v>
      </c>
      <c r="E888">
        <v>86</v>
      </c>
      <c r="F888">
        <v>55</v>
      </c>
      <c r="G888">
        <v>96</v>
      </c>
      <c r="H888" s="1">
        <v>10</v>
      </c>
      <c r="I888" s="2">
        <v>45482</v>
      </c>
      <c r="J888" t="s">
        <v>2254</v>
      </c>
      <c r="K888">
        <v>37</v>
      </c>
      <c r="L888" t="str">
        <f>IF(Table1[[#This Row],[Sales_Volume]]&gt;Table1[[#This Row],[Stock_Quantity]],"Pending","Fulfilled")</f>
        <v>Fulfilled</v>
      </c>
      <c r="M888">
        <v>8</v>
      </c>
      <c r="N888">
        <v>53</v>
      </c>
      <c r="O888" t="str">
        <f>IF(Table1[[#This Row],[Stock_Quantity]]&lt;=Table1[[#This Row],[Reorder_Level]],"Reoeder required","Sufficient")</f>
        <v>Sufficient</v>
      </c>
      <c r="P888" t="str">
        <f>IF(Table1[[#This Row],[Stock_Quantity]]=0,"Out of stock","Available")</f>
        <v>Available</v>
      </c>
    </row>
    <row r="889" spans="1:16" x14ac:dyDescent="0.3">
      <c r="A889" t="s">
        <v>2255</v>
      </c>
      <c r="B889" t="s">
        <v>1093</v>
      </c>
      <c r="C889" t="s">
        <v>13</v>
      </c>
      <c r="D889" t="s">
        <v>184</v>
      </c>
      <c r="E889">
        <v>72</v>
      </c>
      <c r="F889">
        <v>82</v>
      </c>
      <c r="G889">
        <v>52</v>
      </c>
      <c r="H889" s="1">
        <v>9.75</v>
      </c>
      <c r="I889" s="2">
        <v>45482</v>
      </c>
      <c r="J889" t="s">
        <v>2256</v>
      </c>
      <c r="K889">
        <v>51</v>
      </c>
      <c r="L889" t="str">
        <f>IF(Table1[[#This Row],[Sales_Volume]]&gt;Table1[[#This Row],[Stock_Quantity]],"Pending","Fulfilled")</f>
        <v>Fulfilled</v>
      </c>
      <c r="M889">
        <v>4</v>
      </c>
      <c r="N889">
        <v>95</v>
      </c>
      <c r="O889" t="str">
        <f>IF(Table1[[#This Row],[Stock_Quantity]]&lt;=Table1[[#This Row],[Reorder_Level]],"Reoeder required","Sufficient")</f>
        <v>Reoeder required</v>
      </c>
      <c r="P889" t="str">
        <f>IF(Table1[[#This Row],[Stock_Quantity]]=0,"Out of stock","Available")</f>
        <v>Available</v>
      </c>
    </row>
    <row r="890" spans="1:16" x14ac:dyDescent="0.3">
      <c r="A890" t="s">
        <v>2257</v>
      </c>
      <c r="B890" t="s">
        <v>103</v>
      </c>
      <c r="C890" t="s">
        <v>31</v>
      </c>
      <c r="D890" t="s">
        <v>614</v>
      </c>
      <c r="E890">
        <v>31</v>
      </c>
      <c r="F890">
        <v>61</v>
      </c>
      <c r="G890">
        <v>28</v>
      </c>
      <c r="H890" s="1">
        <v>2.1</v>
      </c>
      <c r="I890" s="2">
        <v>45482</v>
      </c>
      <c r="J890" t="s">
        <v>2258</v>
      </c>
      <c r="K890">
        <v>55</v>
      </c>
      <c r="L890" t="str">
        <f>IF(Table1[[#This Row],[Sales_Volume]]&gt;Table1[[#This Row],[Stock_Quantity]],"Pending","Fulfilled")</f>
        <v>Pending</v>
      </c>
      <c r="M890">
        <v>5</v>
      </c>
      <c r="N890">
        <v>70</v>
      </c>
      <c r="O890" t="str">
        <f>IF(Table1[[#This Row],[Stock_Quantity]]&lt;=Table1[[#This Row],[Reorder_Level]],"Reoeder required","Sufficient")</f>
        <v>Reoeder required</v>
      </c>
      <c r="P890" t="str">
        <f>IF(Table1[[#This Row],[Stock_Quantity]]=0,"Out of stock","Available")</f>
        <v>Available</v>
      </c>
    </row>
    <row r="891" spans="1:16" x14ac:dyDescent="0.3">
      <c r="A891" t="s">
        <v>2259</v>
      </c>
      <c r="B891" t="s">
        <v>305</v>
      </c>
      <c r="C891" t="s">
        <v>65</v>
      </c>
      <c r="D891" t="s">
        <v>2260</v>
      </c>
      <c r="E891">
        <v>12</v>
      </c>
      <c r="F891">
        <v>7</v>
      </c>
      <c r="G891">
        <v>23</v>
      </c>
      <c r="H891" s="1">
        <v>6</v>
      </c>
      <c r="I891" s="2">
        <v>45705</v>
      </c>
      <c r="J891" t="s">
        <v>2261</v>
      </c>
      <c r="K891">
        <v>72</v>
      </c>
      <c r="L891" t="str">
        <f>IF(Table1[[#This Row],[Sales_Volume]]&gt;Table1[[#This Row],[Stock_Quantity]],"Pending","Fulfilled")</f>
        <v>Pending</v>
      </c>
      <c r="M891">
        <v>2</v>
      </c>
      <c r="N891">
        <v>16</v>
      </c>
      <c r="O891" t="str">
        <f>IF(Table1[[#This Row],[Stock_Quantity]]&lt;=Table1[[#This Row],[Reorder_Level]],"Reoeder required","Sufficient")</f>
        <v>Sufficient</v>
      </c>
      <c r="P891" t="str">
        <f>IF(Table1[[#This Row],[Stock_Quantity]]=0,"Out of stock","Available")</f>
        <v>Available</v>
      </c>
    </row>
    <row r="892" spans="1:16" x14ac:dyDescent="0.3">
      <c r="A892" t="s">
        <v>2262</v>
      </c>
      <c r="B892" t="s">
        <v>469</v>
      </c>
      <c r="C892" t="s">
        <v>45</v>
      </c>
      <c r="D892" t="s">
        <v>1268</v>
      </c>
      <c r="E892">
        <v>71</v>
      </c>
      <c r="F892">
        <v>93</v>
      </c>
      <c r="G892">
        <v>75</v>
      </c>
      <c r="H892" s="1">
        <v>7</v>
      </c>
      <c r="I892" s="2">
        <v>45523</v>
      </c>
      <c r="J892" t="s">
        <v>2263</v>
      </c>
      <c r="K892">
        <v>77</v>
      </c>
      <c r="L892" t="str">
        <f>IF(Table1[[#This Row],[Sales_Volume]]&gt;Table1[[#This Row],[Stock_Quantity]],"Pending","Fulfilled")</f>
        <v>Pending</v>
      </c>
      <c r="M892">
        <v>4</v>
      </c>
      <c r="N892">
        <v>58</v>
      </c>
      <c r="O892" t="str">
        <f>IF(Table1[[#This Row],[Stock_Quantity]]&lt;=Table1[[#This Row],[Reorder_Level]],"Reoeder required","Sufficient")</f>
        <v>Reoeder required</v>
      </c>
      <c r="P892" t="str">
        <f>IF(Table1[[#This Row],[Stock_Quantity]]=0,"Out of stock","Available")</f>
        <v>Available</v>
      </c>
    </row>
    <row r="893" spans="1:16" x14ac:dyDescent="0.3">
      <c r="A893" t="s">
        <v>2264</v>
      </c>
      <c r="B893" t="s">
        <v>610</v>
      </c>
      <c r="C893" t="s">
        <v>99</v>
      </c>
      <c r="D893" t="s">
        <v>864</v>
      </c>
      <c r="E893">
        <v>64</v>
      </c>
      <c r="F893">
        <v>1</v>
      </c>
      <c r="G893">
        <v>92</v>
      </c>
      <c r="H893" s="1">
        <v>10</v>
      </c>
      <c r="I893" s="2">
        <v>45405</v>
      </c>
      <c r="J893" t="s">
        <v>2265</v>
      </c>
      <c r="K893">
        <v>49</v>
      </c>
      <c r="L893" t="str">
        <f>IF(Table1[[#This Row],[Sales_Volume]]&gt;Table1[[#This Row],[Stock_Quantity]],"Pending","Fulfilled")</f>
        <v>Fulfilled</v>
      </c>
      <c r="M893">
        <v>1</v>
      </c>
      <c r="N893">
        <v>15</v>
      </c>
      <c r="O893" t="str">
        <f>IF(Table1[[#This Row],[Stock_Quantity]]&lt;=Table1[[#This Row],[Reorder_Level]],"Reoeder required","Sufficient")</f>
        <v>Sufficient</v>
      </c>
      <c r="P893" t="str">
        <f>IF(Table1[[#This Row],[Stock_Quantity]]=0,"Out of stock","Available")</f>
        <v>Available</v>
      </c>
    </row>
    <row r="894" spans="1:16" x14ac:dyDescent="0.3">
      <c r="A894" t="s">
        <v>2266</v>
      </c>
      <c r="B894" t="s">
        <v>1142</v>
      </c>
      <c r="C894" t="s">
        <v>40</v>
      </c>
      <c r="D894" t="s">
        <v>194</v>
      </c>
      <c r="E894">
        <v>89</v>
      </c>
      <c r="F894">
        <v>79</v>
      </c>
      <c r="G894">
        <v>66</v>
      </c>
      <c r="H894" s="1">
        <v>5</v>
      </c>
      <c r="I894" s="2">
        <v>45646</v>
      </c>
      <c r="J894" t="s">
        <v>2267</v>
      </c>
      <c r="K894">
        <v>91</v>
      </c>
      <c r="L894" t="str">
        <f>IF(Table1[[#This Row],[Sales_Volume]]&gt;Table1[[#This Row],[Stock_Quantity]],"Pending","Fulfilled")</f>
        <v>Pending</v>
      </c>
      <c r="M894">
        <v>6</v>
      </c>
      <c r="N894">
        <v>31</v>
      </c>
      <c r="O894" t="str">
        <f>IF(Table1[[#This Row],[Stock_Quantity]]&lt;=Table1[[#This Row],[Reorder_Level]],"Reoeder required","Sufficient")</f>
        <v>Sufficient</v>
      </c>
      <c r="P894" t="str">
        <f>IF(Table1[[#This Row],[Stock_Quantity]]=0,"Out of stock","Available")</f>
        <v>Available</v>
      </c>
    </row>
    <row r="895" spans="1:16" x14ac:dyDescent="0.3">
      <c r="A895" t="s">
        <v>2268</v>
      </c>
      <c r="B895" t="s">
        <v>563</v>
      </c>
      <c r="C895" t="s">
        <v>40</v>
      </c>
      <c r="D895" t="s">
        <v>1874</v>
      </c>
      <c r="E895">
        <v>50</v>
      </c>
      <c r="F895">
        <v>36</v>
      </c>
      <c r="G895">
        <v>96</v>
      </c>
      <c r="H895" s="1">
        <v>6.5</v>
      </c>
      <c r="I895" s="2">
        <v>45516</v>
      </c>
      <c r="J895" t="s">
        <v>2269</v>
      </c>
      <c r="K895">
        <v>53</v>
      </c>
      <c r="L895" t="str">
        <f>IF(Table1[[#This Row],[Sales_Volume]]&gt;Table1[[#This Row],[Stock_Quantity]],"Pending","Fulfilled")</f>
        <v>Pending</v>
      </c>
      <c r="M895">
        <v>6</v>
      </c>
      <c r="N895">
        <v>73</v>
      </c>
      <c r="O895" t="str">
        <f>IF(Table1[[#This Row],[Stock_Quantity]]&lt;=Table1[[#This Row],[Reorder_Level]],"Reoeder required","Sufficient")</f>
        <v>Sufficient</v>
      </c>
      <c r="P895" t="str">
        <f>IF(Table1[[#This Row],[Stock_Quantity]]=0,"Out of stock","Available")</f>
        <v>Available</v>
      </c>
    </row>
    <row r="896" spans="1:16" x14ac:dyDescent="0.3">
      <c r="A896" t="s">
        <v>2270</v>
      </c>
      <c r="B896" t="s">
        <v>172</v>
      </c>
      <c r="C896" t="s">
        <v>31</v>
      </c>
      <c r="D896" t="s">
        <v>1188</v>
      </c>
      <c r="E896">
        <v>53</v>
      </c>
      <c r="F896">
        <v>98</v>
      </c>
      <c r="G896">
        <v>23</v>
      </c>
      <c r="H896" s="1">
        <v>5</v>
      </c>
      <c r="I896" s="2">
        <v>45477</v>
      </c>
      <c r="J896" t="s">
        <v>2271</v>
      </c>
      <c r="K896">
        <v>41</v>
      </c>
      <c r="L896" t="str">
        <f>IF(Table1[[#This Row],[Sales_Volume]]&gt;Table1[[#This Row],[Stock_Quantity]],"Pending","Fulfilled")</f>
        <v>Fulfilled</v>
      </c>
      <c r="M896">
        <v>6</v>
      </c>
      <c r="N896">
        <v>84</v>
      </c>
      <c r="O896" t="str">
        <f>IF(Table1[[#This Row],[Stock_Quantity]]&lt;=Table1[[#This Row],[Reorder_Level]],"Reoeder required","Sufficient")</f>
        <v>Reoeder required</v>
      </c>
      <c r="P896" t="str">
        <f>IF(Table1[[#This Row],[Stock_Quantity]]=0,"Out of stock","Available")</f>
        <v>Available</v>
      </c>
    </row>
    <row r="897" spans="1:16" x14ac:dyDescent="0.3">
      <c r="A897" t="s">
        <v>2272</v>
      </c>
      <c r="B897" t="s">
        <v>150</v>
      </c>
      <c r="C897" t="s">
        <v>99</v>
      </c>
      <c r="D897" t="s">
        <v>1916</v>
      </c>
      <c r="E897">
        <v>19</v>
      </c>
      <c r="F897">
        <v>99</v>
      </c>
      <c r="G897">
        <v>78</v>
      </c>
      <c r="H897" s="1">
        <v>9</v>
      </c>
      <c r="I897" s="2">
        <v>45705</v>
      </c>
      <c r="J897" t="s">
        <v>2273</v>
      </c>
      <c r="K897">
        <v>29</v>
      </c>
      <c r="L897" t="str">
        <f>IF(Table1[[#This Row],[Sales_Volume]]&gt;Table1[[#This Row],[Stock_Quantity]],"Pending","Fulfilled")</f>
        <v>Pending</v>
      </c>
      <c r="M897">
        <v>1</v>
      </c>
      <c r="N897">
        <v>54</v>
      </c>
      <c r="O897" t="str">
        <f>IF(Table1[[#This Row],[Stock_Quantity]]&lt;=Table1[[#This Row],[Reorder_Level]],"Reoeder required","Sufficient")</f>
        <v>Reoeder required</v>
      </c>
      <c r="P897" t="str">
        <f>IF(Table1[[#This Row],[Stock_Quantity]]=0,"Out of stock","Available")</f>
        <v>Available</v>
      </c>
    </row>
    <row r="898" spans="1:16" x14ac:dyDescent="0.3">
      <c r="A898" t="s">
        <v>2274</v>
      </c>
      <c r="B898" t="s">
        <v>268</v>
      </c>
      <c r="C898" t="s">
        <v>31</v>
      </c>
      <c r="D898" t="s">
        <v>1181</v>
      </c>
      <c r="E898">
        <v>89</v>
      </c>
      <c r="F898">
        <v>40</v>
      </c>
      <c r="G898">
        <v>64</v>
      </c>
      <c r="H898" s="1">
        <v>4</v>
      </c>
      <c r="I898" s="2">
        <v>45700</v>
      </c>
      <c r="J898" t="s">
        <v>2275</v>
      </c>
      <c r="K898">
        <v>93</v>
      </c>
      <c r="L898" t="str">
        <f>IF(Table1[[#This Row],[Sales_Volume]]&gt;Table1[[#This Row],[Stock_Quantity]],"Pending","Fulfilled")</f>
        <v>Pending</v>
      </c>
      <c r="M898">
        <v>8</v>
      </c>
      <c r="N898">
        <v>48</v>
      </c>
      <c r="O898" t="str">
        <f>IF(Table1[[#This Row],[Stock_Quantity]]&lt;=Table1[[#This Row],[Reorder_Level]],"Reoeder required","Sufficient")</f>
        <v>Sufficient</v>
      </c>
      <c r="P898" t="str">
        <f>IF(Table1[[#This Row],[Stock_Quantity]]=0,"Out of stock","Available")</f>
        <v>Available</v>
      </c>
    </row>
    <row r="899" spans="1:16" x14ac:dyDescent="0.3">
      <c r="A899" t="s">
        <v>2276</v>
      </c>
      <c r="B899" t="s">
        <v>408</v>
      </c>
      <c r="C899" t="s">
        <v>99</v>
      </c>
      <c r="D899" t="s">
        <v>208</v>
      </c>
      <c r="E899">
        <v>96</v>
      </c>
      <c r="F899">
        <v>12</v>
      </c>
      <c r="G899">
        <v>8</v>
      </c>
      <c r="H899" s="1">
        <v>8</v>
      </c>
      <c r="I899" s="2">
        <v>45436</v>
      </c>
      <c r="J899" t="s">
        <v>2277</v>
      </c>
      <c r="K899">
        <v>97</v>
      </c>
      <c r="L899" t="str">
        <f>IF(Table1[[#This Row],[Sales_Volume]]&gt;Table1[[#This Row],[Stock_Quantity]],"Pending","Fulfilled")</f>
        <v>Pending</v>
      </c>
      <c r="M899">
        <v>1</v>
      </c>
      <c r="N899">
        <v>92</v>
      </c>
      <c r="O899" t="str">
        <f>IF(Table1[[#This Row],[Stock_Quantity]]&lt;=Table1[[#This Row],[Reorder_Level]],"Reoeder required","Sufficient")</f>
        <v>Sufficient</v>
      </c>
      <c r="P899" t="str">
        <f>IF(Table1[[#This Row],[Stock_Quantity]]=0,"Out of stock","Available")</f>
        <v>Available</v>
      </c>
    </row>
    <row r="900" spans="1:16" x14ac:dyDescent="0.3">
      <c r="A900" t="s">
        <v>2278</v>
      </c>
      <c r="B900" t="s">
        <v>111</v>
      </c>
      <c r="C900" t="s">
        <v>45</v>
      </c>
      <c r="D900" t="s">
        <v>2279</v>
      </c>
      <c r="E900">
        <v>52</v>
      </c>
      <c r="F900">
        <v>56</v>
      </c>
      <c r="G900">
        <v>34</v>
      </c>
      <c r="H900" s="1">
        <v>12</v>
      </c>
      <c r="I900" s="2">
        <v>45569</v>
      </c>
      <c r="J900" t="s">
        <v>2280</v>
      </c>
      <c r="K900">
        <v>31</v>
      </c>
      <c r="L900" t="str">
        <f>IF(Table1[[#This Row],[Sales_Volume]]&gt;Table1[[#This Row],[Stock_Quantity]],"Pending","Fulfilled")</f>
        <v>Fulfilled</v>
      </c>
      <c r="M900">
        <v>8</v>
      </c>
      <c r="N900">
        <v>69</v>
      </c>
      <c r="O900" t="str">
        <f>IF(Table1[[#This Row],[Stock_Quantity]]&lt;=Table1[[#This Row],[Reorder_Level]],"Reoeder required","Sufficient")</f>
        <v>Reoeder required</v>
      </c>
      <c r="P900" t="str">
        <f>IF(Table1[[#This Row],[Stock_Quantity]]=0,"Out of stock","Available")</f>
        <v>Available</v>
      </c>
    </row>
    <row r="901" spans="1:16" x14ac:dyDescent="0.3">
      <c r="A901" t="s">
        <v>2281</v>
      </c>
      <c r="B901" t="s">
        <v>563</v>
      </c>
      <c r="C901" t="s">
        <v>40</v>
      </c>
      <c r="D901" t="s">
        <v>1245</v>
      </c>
      <c r="E901">
        <v>97</v>
      </c>
      <c r="F901">
        <v>20</v>
      </c>
      <c r="G901">
        <v>8</v>
      </c>
      <c r="H901" s="1">
        <v>6.5</v>
      </c>
      <c r="I901" s="2">
        <v>45602</v>
      </c>
      <c r="J901" t="s">
        <v>2282</v>
      </c>
      <c r="K901">
        <v>51</v>
      </c>
      <c r="L901" t="str">
        <f>IF(Table1[[#This Row],[Sales_Volume]]&gt;Table1[[#This Row],[Stock_Quantity]],"Pending","Fulfilled")</f>
        <v>Fulfilled</v>
      </c>
      <c r="M901">
        <v>7</v>
      </c>
      <c r="N901">
        <v>51</v>
      </c>
      <c r="O901" t="str">
        <f>IF(Table1[[#This Row],[Stock_Quantity]]&lt;=Table1[[#This Row],[Reorder_Level]],"Reoeder required","Sufficient")</f>
        <v>Sufficient</v>
      </c>
      <c r="P901" t="str">
        <f>IF(Table1[[#This Row],[Stock_Quantity]]=0,"Out of stock","Available")</f>
        <v>Available</v>
      </c>
    </row>
    <row r="902" spans="1:16" x14ac:dyDescent="0.3">
      <c r="A902" t="s">
        <v>2283</v>
      </c>
      <c r="B902" t="s">
        <v>876</v>
      </c>
      <c r="C902" t="s">
        <v>99</v>
      </c>
      <c r="D902" t="s">
        <v>1071</v>
      </c>
      <c r="E902">
        <v>88</v>
      </c>
      <c r="F902">
        <v>42</v>
      </c>
      <c r="G902">
        <v>68</v>
      </c>
      <c r="H902" s="1">
        <v>20</v>
      </c>
      <c r="I902" s="2">
        <v>45625</v>
      </c>
      <c r="J902" t="s">
        <v>2284</v>
      </c>
      <c r="K902">
        <v>92</v>
      </c>
      <c r="L902" t="str">
        <f>IF(Table1[[#This Row],[Sales_Volume]]&gt;Table1[[#This Row],[Stock_Quantity]],"Pending","Fulfilled")</f>
        <v>Pending</v>
      </c>
      <c r="M902">
        <v>1</v>
      </c>
      <c r="N902">
        <v>29</v>
      </c>
      <c r="O902" t="str">
        <f>IF(Table1[[#This Row],[Stock_Quantity]]&lt;=Table1[[#This Row],[Reorder_Level]],"Reoeder required","Sufficient")</f>
        <v>Sufficient</v>
      </c>
      <c r="P902" t="str">
        <f>IF(Table1[[#This Row],[Stock_Quantity]]=0,"Out of stock","Available")</f>
        <v>Available</v>
      </c>
    </row>
    <row r="903" spans="1:16" x14ac:dyDescent="0.3">
      <c r="A903" t="s">
        <v>2285</v>
      </c>
      <c r="B903" t="s">
        <v>359</v>
      </c>
      <c r="C903" t="s">
        <v>13</v>
      </c>
      <c r="D903" t="s">
        <v>1821</v>
      </c>
      <c r="E903">
        <v>33</v>
      </c>
      <c r="F903">
        <v>44</v>
      </c>
      <c r="G903">
        <v>89</v>
      </c>
      <c r="H903" s="1">
        <v>4.75</v>
      </c>
      <c r="I903" s="2">
        <v>45540</v>
      </c>
      <c r="J903" t="s">
        <v>2286</v>
      </c>
      <c r="K903">
        <v>93</v>
      </c>
      <c r="L903" t="str">
        <f>IF(Table1[[#This Row],[Sales_Volume]]&gt;Table1[[#This Row],[Stock_Quantity]],"Pending","Fulfilled")</f>
        <v>Pending</v>
      </c>
      <c r="M903">
        <v>5</v>
      </c>
      <c r="N903">
        <v>19</v>
      </c>
      <c r="O903" t="str">
        <f>IF(Table1[[#This Row],[Stock_Quantity]]&lt;=Table1[[#This Row],[Reorder_Level]],"Reoeder required","Sufficient")</f>
        <v>Reoeder required</v>
      </c>
      <c r="P903" t="str">
        <f>IF(Table1[[#This Row],[Stock_Quantity]]=0,"Out of stock","Available")</f>
        <v>Available</v>
      </c>
    </row>
    <row r="904" spans="1:16" x14ac:dyDescent="0.3">
      <c r="A904" t="s">
        <v>2287</v>
      </c>
      <c r="B904" t="s">
        <v>359</v>
      </c>
      <c r="C904" t="s">
        <v>13</v>
      </c>
      <c r="D904" t="s">
        <v>208</v>
      </c>
      <c r="E904">
        <v>98</v>
      </c>
      <c r="F904">
        <v>20</v>
      </c>
      <c r="G904">
        <v>81</v>
      </c>
      <c r="H904" s="1">
        <v>4.75</v>
      </c>
      <c r="I904" s="2">
        <v>45483</v>
      </c>
      <c r="J904" t="s">
        <v>2288</v>
      </c>
      <c r="K904">
        <v>51</v>
      </c>
      <c r="L904" t="str">
        <f>IF(Table1[[#This Row],[Sales_Volume]]&gt;Table1[[#This Row],[Stock_Quantity]],"Pending","Fulfilled")</f>
        <v>Fulfilled</v>
      </c>
      <c r="M904">
        <v>3</v>
      </c>
      <c r="N904">
        <v>23</v>
      </c>
      <c r="O904" t="str">
        <f>IF(Table1[[#This Row],[Stock_Quantity]]&lt;=Table1[[#This Row],[Reorder_Level]],"Reoeder required","Sufficient")</f>
        <v>Sufficient</v>
      </c>
      <c r="P904" t="str">
        <f>IF(Table1[[#This Row],[Stock_Quantity]]=0,"Out of stock","Available")</f>
        <v>Available</v>
      </c>
    </row>
    <row r="905" spans="1:16" x14ac:dyDescent="0.3">
      <c r="A905" t="s">
        <v>2289</v>
      </c>
      <c r="B905" t="s">
        <v>425</v>
      </c>
      <c r="C905" t="s">
        <v>31</v>
      </c>
      <c r="D905" t="s">
        <v>320</v>
      </c>
      <c r="E905">
        <v>45</v>
      </c>
      <c r="F905">
        <v>79</v>
      </c>
      <c r="G905">
        <v>95</v>
      </c>
      <c r="H905" s="1">
        <v>4</v>
      </c>
      <c r="I905" s="2">
        <v>45469</v>
      </c>
      <c r="J905" t="s">
        <v>2290</v>
      </c>
      <c r="K905">
        <v>84</v>
      </c>
      <c r="L905" t="str">
        <f>IF(Table1[[#This Row],[Sales_Volume]]&gt;Table1[[#This Row],[Stock_Quantity]],"Pending","Fulfilled")</f>
        <v>Pending</v>
      </c>
      <c r="M905">
        <v>1</v>
      </c>
      <c r="N905">
        <v>62</v>
      </c>
      <c r="O905" t="str">
        <f>IF(Table1[[#This Row],[Stock_Quantity]]&lt;=Table1[[#This Row],[Reorder_Level]],"Reoeder required","Sufficient")</f>
        <v>Reoeder required</v>
      </c>
      <c r="P905" t="str">
        <f>IF(Table1[[#This Row],[Stock_Quantity]]=0,"Out of stock","Available")</f>
        <v>Available</v>
      </c>
    </row>
    <row r="906" spans="1:16" x14ac:dyDescent="0.3">
      <c r="A906" t="s">
        <v>2291</v>
      </c>
      <c r="B906" t="s">
        <v>451</v>
      </c>
      <c r="C906" t="s">
        <v>13</v>
      </c>
      <c r="D906" t="s">
        <v>1647</v>
      </c>
      <c r="E906">
        <v>80</v>
      </c>
      <c r="F906">
        <v>86</v>
      </c>
      <c r="G906">
        <v>50</v>
      </c>
      <c r="H906" s="1">
        <v>1.8</v>
      </c>
      <c r="I906" s="2">
        <v>45495</v>
      </c>
      <c r="J906" t="s">
        <v>2292</v>
      </c>
      <c r="K906">
        <v>46</v>
      </c>
      <c r="L906" t="str">
        <f>IF(Table1[[#This Row],[Sales_Volume]]&gt;Table1[[#This Row],[Stock_Quantity]],"Pending","Fulfilled")</f>
        <v>Fulfilled</v>
      </c>
      <c r="M906">
        <v>8</v>
      </c>
      <c r="N906">
        <v>69</v>
      </c>
      <c r="O906" t="str">
        <f>IF(Table1[[#This Row],[Stock_Quantity]]&lt;=Table1[[#This Row],[Reorder_Level]],"Reoeder required","Sufficient")</f>
        <v>Reoeder required</v>
      </c>
      <c r="P906" t="str">
        <f>IF(Table1[[#This Row],[Stock_Quantity]]=0,"Out of stock","Available")</f>
        <v>Available</v>
      </c>
    </row>
    <row r="907" spans="1:16" x14ac:dyDescent="0.3">
      <c r="A907" t="s">
        <v>2293</v>
      </c>
      <c r="B907" t="s">
        <v>876</v>
      </c>
      <c r="C907" t="s">
        <v>99</v>
      </c>
      <c r="D907" t="s">
        <v>529</v>
      </c>
      <c r="E907">
        <v>68</v>
      </c>
      <c r="F907">
        <v>43</v>
      </c>
      <c r="G907">
        <v>96</v>
      </c>
      <c r="H907" s="1">
        <v>20</v>
      </c>
      <c r="I907" s="2">
        <v>45410</v>
      </c>
      <c r="J907" t="s">
        <v>2294</v>
      </c>
      <c r="K907">
        <v>75</v>
      </c>
      <c r="L907" t="str">
        <f>IF(Table1[[#This Row],[Sales_Volume]]&gt;Table1[[#This Row],[Stock_Quantity]],"Pending","Fulfilled")</f>
        <v>Pending</v>
      </c>
      <c r="M907">
        <v>6</v>
      </c>
      <c r="N907">
        <v>35</v>
      </c>
      <c r="O907" t="str">
        <f>IF(Table1[[#This Row],[Stock_Quantity]]&lt;=Table1[[#This Row],[Reorder_Level]],"Reoeder required","Sufficient")</f>
        <v>Sufficient</v>
      </c>
      <c r="P907" t="str">
        <f>IF(Table1[[#This Row],[Stock_Quantity]]=0,"Out of stock","Available")</f>
        <v>Available</v>
      </c>
    </row>
    <row r="908" spans="1:16" x14ac:dyDescent="0.3">
      <c r="A908" t="s">
        <v>2295</v>
      </c>
      <c r="B908" t="s">
        <v>889</v>
      </c>
      <c r="C908" t="s">
        <v>31</v>
      </c>
      <c r="D908" t="s">
        <v>923</v>
      </c>
      <c r="E908">
        <v>90</v>
      </c>
      <c r="F908">
        <v>91</v>
      </c>
      <c r="G908">
        <v>62</v>
      </c>
      <c r="H908" s="1">
        <v>5</v>
      </c>
      <c r="I908" s="2">
        <v>45623</v>
      </c>
      <c r="J908" t="s">
        <v>2296</v>
      </c>
      <c r="K908">
        <v>34</v>
      </c>
      <c r="L908" t="str">
        <f>IF(Table1[[#This Row],[Sales_Volume]]&gt;Table1[[#This Row],[Stock_Quantity]],"Pending","Fulfilled")</f>
        <v>Fulfilled</v>
      </c>
      <c r="M908">
        <v>6</v>
      </c>
      <c r="N908">
        <v>72</v>
      </c>
      <c r="O908" t="str">
        <f>IF(Table1[[#This Row],[Stock_Quantity]]&lt;=Table1[[#This Row],[Reorder_Level]],"Reoeder required","Sufficient")</f>
        <v>Reoeder required</v>
      </c>
      <c r="P908" t="str">
        <f>IF(Table1[[#This Row],[Stock_Quantity]]=0,"Out of stock","Available")</f>
        <v>Available</v>
      </c>
    </row>
    <row r="909" spans="1:16" x14ac:dyDescent="0.3">
      <c r="A909" t="s">
        <v>2297</v>
      </c>
      <c r="B909" t="s">
        <v>98</v>
      </c>
      <c r="C909" t="s">
        <v>99</v>
      </c>
      <c r="D909" t="s">
        <v>964</v>
      </c>
      <c r="E909">
        <v>89</v>
      </c>
      <c r="F909">
        <v>67</v>
      </c>
      <c r="G909">
        <v>89</v>
      </c>
      <c r="H909" s="1">
        <v>12</v>
      </c>
      <c r="I909" s="2">
        <v>45662</v>
      </c>
      <c r="J909" t="s">
        <v>2298</v>
      </c>
      <c r="K909">
        <v>96</v>
      </c>
      <c r="L909" t="str">
        <f>IF(Table1[[#This Row],[Sales_Volume]]&gt;Table1[[#This Row],[Stock_Quantity]],"Pending","Fulfilled")</f>
        <v>Pending</v>
      </c>
      <c r="M909">
        <v>4</v>
      </c>
      <c r="N909">
        <v>42</v>
      </c>
      <c r="O909" t="str">
        <f>IF(Table1[[#This Row],[Stock_Quantity]]&lt;=Table1[[#This Row],[Reorder_Level]],"Reoeder required","Sufficient")</f>
        <v>Sufficient</v>
      </c>
      <c r="P909" t="str">
        <f>IF(Table1[[#This Row],[Stock_Quantity]]=0,"Out of stock","Available")</f>
        <v>Available</v>
      </c>
    </row>
    <row r="910" spans="1:16" x14ac:dyDescent="0.3">
      <c r="A910" t="s">
        <v>2299</v>
      </c>
      <c r="B910" t="s">
        <v>134</v>
      </c>
      <c r="C910" t="s">
        <v>31</v>
      </c>
      <c r="D910" t="s">
        <v>1316</v>
      </c>
      <c r="E910">
        <v>38</v>
      </c>
      <c r="F910">
        <v>94</v>
      </c>
      <c r="G910">
        <v>87</v>
      </c>
      <c r="H910" s="1">
        <v>1.8</v>
      </c>
      <c r="I910" s="2">
        <v>45415</v>
      </c>
      <c r="J910" t="s">
        <v>2300</v>
      </c>
      <c r="K910">
        <v>89</v>
      </c>
      <c r="L910" t="str">
        <f>IF(Table1[[#This Row],[Sales_Volume]]&gt;Table1[[#This Row],[Stock_Quantity]],"Pending","Fulfilled")</f>
        <v>Pending</v>
      </c>
      <c r="M910">
        <v>5</v>
      </c>
      <c r="N910">
        <v>100</v>
      </c>
      <c r="O910" t="str">
        <f>IF(Table1[[#This Row],[Stock_Quantity]]&lt;=Table1[[#This Row],[Reorder_Level]],"Reoeder required","Sufficient")</f>
        <v>Reoeder required</v>
      </c>
      <c r="P910" t="str">
        <f>IF(Table1[[#This Row],[Stock_Quantity]]=0,"Out of stock","Available")</f>
        <v>Available</v>
      </c>
    </row>
    <row r="911" spans="1:16" x14ac:dyDescent="0.3">
      <c r="A911" t="s">
        <v>2301</v>
      </c>
      <c r="B911" t="s">
        <v>103</v>
      </c>
      <c r="C911" t="s">
        <v>31</v>
      </c>
      <c r="D911" t="s">
        <v>2302</v>
      </c>
      <c r="E911">
        <v>99</v>
      </c>
      <c r="F911">
        <v>37</v>
      </c>
      <c r="G911">
        <v>74</v>
      </c>
      <c r="H911" s="1">
        <v>2.1</v>
      </c>
      <c r="I911" s="2">
        <v>45647</v>
      </c>
      <c r="J911" t="s">
        <v>2303</v>
      </c>
      <c r="K911">
        <v>46</v>
      </c>
      <c r="L911" t="str">
        <f>IF(Table1[[#This Row],[Sales_Volume]]&gt;Table1[[#This Row],[Stock_Quantity]],"Pending","Fulfilled")</f>
        <v>Fulfilled</v>
      </c>
      <c r="M911">
        <v>4</v>
      </c>
      <c r="N911">
        <v>46</v>
      </c>
      <c r="O911" t="str">
        <f>IF(Table1[[#This Row],[Stock_Quantity]]&lt;=Table1[[#This Row],[Reorder_Level]],"Reoeder required","Sufficient")</f>
        <v>Sufficient</v>
      </c>
      <c r="P911" t="str">
        <f>IF(Table1[[#This Row],[Stock_Quantity]]=0,"Out of stock","Available")</f>
        <v>Available</v>
      </c>
    </row>
    <row r="912" spans="1:16" x14ac:dyDescent="0.3">
      <c r="A912" t="s">
        <v>2304</v>
      </c>
      <c r="B912" t="s">
        <v>525</v>
      </c>
      <c r="C912" t="s">
        <v>13</v>
      </c>
      <c r="D912" t="s">
        <v>677</v>
      </c>
      <c r="E912">
        <v>66</v>
      </c>
      <c r="F912">
        <v>19</v>
      </c>
      <c r="G912">
        <v>20</v>
      </c>
      <c r="H912" s="1">
        <v>2.4</v>
      </c>
      <c r="I912" s="2">
        <v>45542</v>
      </c>
      <c r="J912" t="s">
        <v>2305</v>
      </c>
      <c r="K912">
        <v>30</v>
      </c>
      <c r="L912" t="str">
        <f>IF(Table1[[#This Row],[Sales_Volume]]&gt;Table1[[#This Row],[Stock_Quantity]],"Pending","Fulfilled")</f>
        <v>Fulfilled</v>
      </c>
      <c r="M912">
        <v>3</v>
      </c>
      <c r="N912">
        <v>49</v>
      </c>
      <c r="O912" t="str">
        <f>IF(Table1[[#This Row],[Stock_Quantity]]&lt;=Table1[[#This Row],[Reorder_Level]],"Reoeder required","Sufficient")</f>
        <v>Sufficient</v>
      </c>
      <c r="P912" t="str">
        <f>IF(Table1[[#This Row],[Stock_Quantity]]=0,"Out of stock","Available")</f>
        <v>Available</v>
      </c>
    </row>
    <row r="913" spans="1:16" x14ac:dyDescent="0.3">
      <c r="A913" t="s">
        <v>2306</v>
      </c>
      <c r="B913" t="s">
        <v>418</v>
      </c>
      <c r="C913" t="s">
        <v>31</v>
      </c>
      <c r="D913" t="s">
        <v>1544</v>
      </c>
      <c r="E913">
        <v>66</v>
      </c>
      <c r="F913">
        <v>28</v>
      </c>
      <c r="G913">
        <v>7</v>
      </c>
      <c r="H913" s="1">
        <v>6</v>
      </c>
      <c r="I913" s="2">
        <v>45591</v>
      </c>
      <c r="J913" t="s">
        <v>2307</v>
      </c>
      <c r="K913">
        <v>85</v>
      </c>
      <c r="L913" t="str">
        <f>IF(Table1[[#This Row],[Sales_Volume]]&gt;Table1[[#This Row],[Stock_Quantity]],"Pending","Fulfilled")</f>
        <v>Pending</v>
      </c>
      <c r="M913">
        <v>8</v>
      </c>
      <c r="N913">
        <v>6</v>
      </c>
      <c r="O913" t="str">
        <f>IF(Table1[[#This Row],[Stock_Quantity]]&lt;=Table1[[#This Row],[Reorder_Level]],"Reoeder required","Sufficient")</f>
        <v>Sufficient</v>
      </c>
      <c r="P913" t="str">
        <f>IF(Table1[[#This Row],[Stock_Quantity]]=0,"Out of stock","Available")</f>
        <v>Available</v>
      </c>
    </row>
    <row r="914" spans="1:16" x14ac:dyDescent="0.3">
      <c r="A914" t="s">
        <v>2308</v>
      </c>
      <c r="B914" t="s">
        <v>80</v>
      </c>
      <c r="C914" t="s">
        <v>13</v>
      </c>
      <c r="D914" t="s">
        <v>754</v>
      </c>
      <c r="E914">
        <v>64</v>
      </c>
      <c r="F914">
        <v>11</v>
      </c>
      <c r="G914">
        <v>97</v>
      </c>
      <c r="H914" s="1">
        <v>1.5</v>
      </c>
      <c r="I914" s="2">
        <v>45644</v>
      </c>
      <c r="J914" t="s">
        <v>2309</v>
      </c>
      <c r="K914">
        <v>33</v>
      </c>
      <c r="L914" t="str">
        <f>IF(Table1[[#This Row],[Sales_Volume]]&gt;Table1[[#This Row],[Stock_Quantity]],"Pending","Fulfilled")</f>
        <v>Fulfilled</v>
      </c>
      <c r="M914">
        <v>6</v>
      </c>
      <c r="N914">
        <v>83</v>
      </c>
      <c r="O914" t="str">
        <f>IF(Table1[[#This Row],[Stock_Quantity]]&lt;=Table1[[#This Row],[Reorder_Level]],"Reoeder required","Sufficient")</f>
        <v>Sufficient</v>
      </c>
      <c r="P914" t="str">
        <f>IF(Table1[[#This Row],[Stock_Quantity]]=0,"Out of stock","Available")</f>
        <v>Available</v>
      </c>
    </row>
    <row r="915" spans="1:16" x14ac:dyDescent="0.3">
      <c r="A915" t="s">
        <v>2310</v>
      </c>
      <c r="B915" t="s">
        <v>22</v>
      </c>
      <c r="C915" t="s">
        <v>13</v>
      </c>
      <c r="D915" t="s">
        <v>1783</v>
      </c>
      <c r="E915">
        <v>18</v>
      </c>
      <c r="F915">
        <v>78</v>
      </c>
      <c r="G915">
        <v>43</v>
      </c>
      <c r="H915" s="1">
        <v>6</v>
      </c>
      <c r="I915" s="2">
        <v>45478</v>
      </c>
      <c r="J915" t="s">
        <v>2311</v>
      </c>
      <c r="K915">
        <v>85</v>
      </c>
      <c r="L915" t="str">
        <f>IF(Table1[[#This Row],[Sales_Volume]]&gt;Table1[[#This Row],[Stock_Quantity]],"Pending","Fulfilled")</f>
        <v>Pending</v>
      </c>
      <c r="M915">
        <v>1</v>
      </c>
      <c r="N915">
        <v>97</v>
      </c>
      <c r="O915" t="str">
        <f>IF(Table1[[#This Row],[Stock_Quantity]]&lt;=Table1[[#This Row],[Reorder_Level]],"Reoeder required","Sufficient")</f>
        <v>Reoeder required</v>
      </c>
      <c r="P915" t="str">
        <f>IF(Table1[[#This Row],[Stock_Quantity]]=0,"Out of stock","Available")</f>
        <v>Available</v>
      </c>
    </row>
    <row r="916" spans="1:16" x14ac:dyDescent="0.3">
      <c r="A916" t="s">
        <v>2312</v>
      </c>
      <c r="B916" t="s">
        <v>588</v>
      </c>
      <c r="C916" t="s">
        <v>13</v>
      </c>
      <c r="D916" t="s">
        <v>984</v>
      </c>
      <c r="E916">
        <v>86</v>
      </c>
      <c r="F916">
        <v>100</v>
      </c>
      <c r="G916">
        <v>78</v>
      </c>
      <c r="H916" s="1">
        <v>2.75</v>
      </c>
      <c r="I916" s="2">
        <v>45440</v>
      </c>
      <c r="J916" t="s">
        <v>2313</v>
      </c>
      <c r="K916">
        <v>52</v>
      </c>
      <c r="L916" t="str">
        <f>IF(Table1[[#This Row],[Sales_Volume]]&gt;Table1[[#This Row],[Stock_Quantity]],"Pending","Fulfilled")</f>
        <v>Fulfilled</v>
      </c>
      <c r="M916">
        <v>4</v>
      </c>
      <c r="N916">
        <v>91</v>
      </c>
      <c r="O916" t="str">
        <f>IF(Table1[[#This Row],[Stock_Quantity]]&lt;=Table1[[#This Row],[Reorder_Level]],"Reoeder required","Sufficient")</f>
        <v>Reoeder required</v>
      </c>
      <c r="P916" t="str">
        <f>IF(Table1[[#This Row],[Stock_Quantity]]=0,"Out of stock","Available")</f>
        <v>Available</v>
      </c>
    </row>
    <row r="917" spans="1:16" x14ac:dyDescent="0.3">
      <c r="A917" t="s">
        <v>2314</v>
      </c>
      <c r="B917" t="s">
        <v>243</v>
      </c>
      <c r="C917" t="s">
        <v>18</v>
      </c>
      <c r="D917" t="s">
        <v>165</v>
      </c>
      <c r="E917">
        <v>35</v>
      </c>
      <c r="F917">
        <v>88</v>
      </c>
      <c r="G917">
        <v>87</v>
      </c>
      <c r="H917" s="1">
        <v>4.7</v>
      </c>
      <c r="I917" s="2">
        <v>45577</v>
      </c>
      <c r="J917" t="s">
        <v>2315</v>
      </c>
      <c r="K917">
        <v>39</v>
      </c>
      <c r="L917" t="str">
        <f>IF(Table1[[#This Row],[Sales_Volume]]&gt;Table1[[#This Row],[Stock_Quantity]],"Pending","Fulfilled")</f>
        <v>Pending</v>
      </c>
      <c r="M917">
        <v>6</v>
      </c>
      <c r="N917">
        <v>62</v>
      </c>
      <c r="O917" t="str">
        <f>IF(Table1[[#This Row],[Stock_Quantity]]&lt;=Table1[[#This Row],[Reorder_Level]],"Reoeder required","Sufficient")</f>
        <v>Reoeder required</v>
      </c>
      <c r="P917" t="str">
        <f>IF(Table1[[#This Row],[Stock_Quantity]]=0,"Out of stock","Available")</f>
        <v>Available</v>
      </c>
    </row>
    <row r="918" spans="1:16" x14ac:dyDescent="0.3">
      <c r="A918" t="s">
        <v>2316</v>
      </c>
      <c r="B918" t="s">
        <v>103</v>
      </c>
      <c r="C918" t="s">
        <v>31</v>
      </c>
      <c r="D918" t="s">
        <v>727</v>
      </c>
      <c r="E918">
        <v>26</v>
      </c>
      <c r="F918">
        <v>70</v>
      </c>
      <c r="G918">
        <v>52</v>
      </c>
      <c r="H918" s="1">
        <v>2</v>
      </c>
      <c r="I918" s="2">
        <v>45361</v>
      </c>
      <c r="J918" t="s">
        <v>2317</v>
      </c>
      <c r="K918">
        <v>36</v>
      </c>
      <c r="L918" t="str">
        <f>IF(Table1[[#This Row],[Sales_Volume]]&gt;Table1[[#This Row],[Stock_Quantity]],"Pending","Fulfilled")</f>
        <v>Pending</v>
      </c>
      <c r="M918">
        <v>2</v>
      </c>
      <c r="N918">
        <v>10</v>
      </c>
      <c r="O918" t="str">
        <f>IF(Table1[[#This Row],[Stock_Quantity]]&lt;=Table1[[#This Row],[Reorder_Level]],"Reoeder required","Sufficient")</f>
        <v>Reoeder required</v>
      </c>
      <c r="P918" t="str">
        <f>IF(Table1[[#This Row],[Stock_Quantity]]=0,"Out of stock","Available")</f>
        <v>Available</v>
      </c>
    </row>
    <row r="919" spans="1:16" x14ac:dyDescent="0.3">
      <c r="A919" t="s">
        <v>2318</v>
      </c>
      <c r="B919" t="s">
        <v>111</v>
      </c>
      <c r="C919" t="s">
        <v>45</v>
      </c>
      <c r="D919" t="s">
        <v>124</v>
      </c>
      <c r="E919">
        <v>80</v>
      </c>
      <c r="F919">
        <v>100</v>
      </c>
      <c r="G919">
        <v>48</v>
      </c>
      <c r="H919" s="1">
        <v>12</v>
      </c>
      <c r="I919" s="2">
        <v>45577</v>
      </c>
      <c r="J919" t="s">
        <v>2319</v>
      </c>
      <c r="K919">
        <v>100</v>
      </c>
      <c r="L919" t="str">
        <f>IF(Table1[[#This Row],[Sales_Volume]]&gt;Table1[[#This Row],[Stock_Quantity]],"Pending","Fulfilled")</f>
        <v>Pending</v>
      </c>
      <c r="M919">
        <v>4</v>
      </c>
      <c r="N919">
        <v>28</v>
      </c>
      <c r="O919" t="str">
        <f>IF(Table1[[#This Row],[Stock_Quantity]]&lt;=Table1[[#This Row],[Reorder_Level]],"Reoeder required","Sufficient")</f>
        <v>Reoeder required</v>
      </c>
      <c r="P919" t="str">
        <f>IF(Table1[[#This Row],[Stock_Quantity]]=0,"Out of stock","Available")</f>
        <v>Available</v>
      </c>
    </row>
    <row r="920" spans="1:16" x14ac:dyDescent="0.3">
      <c r="A920" t="s">
        <v>2320</v>
      </c>
      <c r="B920" t="s">
        <v>164</v>
      </c>
      <c r="C920" t="s">
        <v>31</v>
      </c>
      <c r="D920" t="s">
        <v>577</v>
      </c>
      <c r="E920">
        <v>63</v>
      </c>
      <c r="F920">
        <v>56</v>
      </c>
      <c r="G920">
        <v>33</v>
      </c>
      <c r="H920" s="1">
        <v>2.5</v>
      </c>
      <c r="I920" s="2">
        <v>45450</v>
      </c>
      <c r="J920" t="s">
        <v>2321</v>
      </c>
      <c r="K920">
        <v>35</v>
      </c>
      <c r="L920" t="str">
        <f>IF(Table1[[#This Row],[Sales_Volume]]&gt;Table1[[#This Row],[Stock_Quantity]],"Pending","Fulfilled")</f>
        <v>Fulfilled</v>
      </c>
      <c r="M920">
        <v>3</v>
      </c>
      <c r="N920">
        <v>16</v>
      </c>
      <c r="O920" t="str">
        <f>IF(Table1[[#This Row],[Stock_Quantity]]&lt;=Table1[[#This Row],[Reorder_Level]],"Reoeder required","Sufficient")</f>
        <v>Sufficient</v>
      </c>
      <c r="P920" t="str">
        <f>IF(Table1[[#This Row],[Stock_Quantity]]=0,"Out of stock","Available")</f>
        <v>Available</v>
      </c>
    </row>
    <row r="921" spans="1:16" x14ac:dyDescent="0.3">
      <c r="A921" t="s">
        <v>2322</v>
      </c>
      <c r="B921" t="s">
        <v>1067</v>
      </c>
      <c r="C921" t="s">
        <v>65</v>
      </c>
      <c r="D921" t="s">
        <v>306</v>
      </c>
      <c r="E921">
        <v>89</v>
      </c>
      <c r="F921">
        <v>22</v>
      </c>
      <c r="G921">
        <v>23</v>
      </c>
      <c r="H921" s="1">
        <v>5.5</v>
      </c>
      <c r="I921" s="2">
        <v>45468</v>
      </c>
      <c r="J921" t="s">
        <v>2323</v>
      </c>
      <c r="K921">
        <v>83</v>
      </c>
      <c r="L921" t="str">
        <f>IF(Table1[[#This Row],[Sales_Volume]]&gt;Table1[[#This Row],[Stock_Quantity]],"Pending","Fulfilled")</f>
        <v>Fulfilled</v>
      </c>
      <c r="M921">
        <v>7</v>
      </c>
      <c r="N921">
        <v>25</v>
      </c>
      <c r="O921" t="str">
        <f>IF(Table1[[#This Row],[Stock_Quantity]]&lt;=Table1[[#This Row],[Reorder_Level]],"Reoeder required","Sufficient")</f>
        <v>Sufficient</v>
      </c>
      <c r="P921" t="str">
        <f>IF(Table1[[#This Row],[Stock_Quantity]]=0,"Out of stock","Available")</f>
        <v>Available</v>
      </c>
    </row>
    <row r="922" spans="1:16" x14ac:dyDescent="0.3">
      <c r="A922" t="s">
        <v>2324</v>
      </c>
      <c r="B922" t="s">
        <v>1137</v>
      </c>
      <c r="C922" t="s">
        <v>31</v>
      </c>
      <c r="D922" t="s">
        <v>1874</v>
      </c>
      <c r="E922">
        <v>80</v>
      </c>
      <c r="F922">
        <v>60</v>
      </c>
      <c r="G922">
        <v>71</v>
      </c>
      <c r="H922" s="1">
        <v>2</v>
      </c>
      <c r="I922" s="2">
        <v>45458</v>
      </c>
      <c r="J922" t="s">
        <v>2325</v>
      </c>
      <c r="K922">
        <v>98</v>
      </c>
      <c r="L922" t="str">
        <f>IF(Table1[[#This Row],[Sales_Volume]]&gt;Table1[[#This Row],[Stock_Quantity]],"Pending","Fulfilled")</f>
        <v>Pending</v>
      </c>
      <c r="M922">
        <v>2</v>
      </c>
      <c r="N922">
        <v>13</v>
      </c>
      <c r="O922" t="str">
        <f>IF(Table1[[#This Row],[Stock_Quantity]]&lt;=Table1[[#This Row],[Reorder_Level]],"Reoeder required","Sufficient")</f>
        <v>Sufficient</v>
      </c>
      <c r="P922" t="str">
        <f>IF(Table1[[#This Row],[Stock_Quantity]]=0,"Out of stock","Available")</f>
        <v>Available</v>
      </c>
    </row>
    <row r="923" spans="1:16" x14ac:dyDescent="0.3">
      <c r="A923" t="s">
        <v>2326</v>
      </c>
      <c r="B923" t="s">
        <v>542</v>
      </c>
      <c r="C923" t="s">
        <v>40</v>
      </c>
      <c r="D923" t="s">
        <v>284</v>
      </c>
      <c r="E923">
        <v>41</v>
      </c>
      <c r="F923">
        <v>66</v>
      </c>
      <c r="G923">
        <v>50</v>
      </c>
      <c r="H923" s="1">
        <v>2</v>
      </c>
      <c r="I923" s="2">
        <v>45503</v>
      </c>
      <c r="J923" t="s">
        <v>2327</v>
      </c>
      <c r="K923">
        <v>55</v>
      </c>
      <c r="L923" t="str">
        <f>IF(Table1[[#This Row],[Sales_Volume]]&gt;Table1[[#This Row],[Stock_Quantity]],"Pending","Fulfilled")</f>
        <v>Pending</v>
      </c>
      <c r="M923">
        <v>6</v>
      </c>
      <c r="N923">
        <v>74</v>
      </c>
      <c r="O923" t="str">
        <f>IF(Table1[[#This Row],[Stock_Quantity]]&lt;=Table1[[#This Row],[Reorder_Level]],"Reoeder required","Sufficient")</f>
        <v>Reoeder required</v>
      </c>
      <c r="P923" t="str">
        <f>IF(Table1[[#This Row],[Stock_Quantity]]=0,"Out of stock","Available")</f>
        <v>Available</v>
      </c>
    </row>
    <row r="924" spans="1:16" x14ac:dyDescent="0.3">
      <c r="A924" t="s">
        <v>2328</v>
      </c>
      <c r="B924" t="s">
        <v>342</v>
      </c>
      <c r="C924" t="s">
        <v>65</v>
      </c>
      <c r="D924" t="s">
        <v>2329</v>
      </c>
      <c r="E924">
        <v>53</v>
      </c>
      <c r="F924">
        <v>19</v>
      </c>
      <c r="G924">
        <v>94</v>
      </c>
      <c r="H924" s="1">
        <v>5</v>
      </c>
      <c r="I924" s="2">
        <v>45608</v>
      </c>
      <c r="J924" t="s">
        <v>2330</v>
      </c>
      <c r="K924">
        <v>82</v>
      </c>
      <c r="L924" t="str">
        <f>IF(Table1[[#This Row],[Sales_Volume]]&gt;Table1[[#This Row],[Stock_Quantity]],"Pending","Fulfilled")</f>
        <v>Pending</v>
      </c>
      <c r="M924">
        <v>6</v>
      </c>
      <c r="N924">
        <v>56</v>
      </c>
      <c r="O924" t="str">
        <f>IF(Table1[[#This Row],[Stock_Quantity]]&lt;=Table1[[#This Row],[Reorder_Level]],"Reoeder required","Sufficient")</f>
        <v>Sufficient</v>
      </c>
      <c r="P924" t="str">
        <f>IF(Table1[[#This Row],[Stock_Quantity]]=0,"Out of stock","Available")</f>
        <v>Available</v>
      </c>
    </row>
    <row r="925" spans="1:16" x14ac:dyDescent="0.3">
      <c r="A925" t="s">
        <v>2331</v>
      </c>
      <c r="B925" t="s">
        <v>150</v>
      </c>
      <c r="C925" t="s">
        <v>99</v>
      </c>
      <c r="D925" t="s">
        <v>95</v>
      </c>
      <c r="E925">
        <v>61</v>
      </c>
      <c r="F925">
        <v>91</v>
      </c>
      <c r="G925">
        <v>40</v>
      </c>
      <c r="H925" s="1">
        <v>9</v>
      </c>
      <c r="I925" s="2">
        <v>45531</v>
      </c>
      <c r="J925" t="s">
        <v>2332</v>
      </c>
      <c r="K925">
        <v>34</v>
      </c>
      <c r="L925" t="str">
        <f>IF(Table1[[#This Row],[Sales_Volume]]&gt;Table1[[#This Row],[Stock_Quantity]],"Pending","Fulfilled")</f>
        <v>Fulfilled</v>
      </c>
      <c r="M925">
        <v>4</v>
      </c>
      <c r="N925">
        <v>76</v>
      </c>
      <c r="O925" t="str">
        <f>IF(Table1[[#This Row],[Stock_Quantity]]&lt;=Table1[[#This Row],[Reorder_Level]],"Reoeder required","Sufficient")</f>
        <v>Reoeder required</v>
      </c>
      <c r="P925" t="str">
        <f>IF(Table1[[#This Row],[Stock_Quantity]]=0,"Out of stock","Available")</f>
        <v>Available</v>
      </c>
    </row>
    <row r="926" spans="1:16" x14ac:dyDescent="0.3">
      <c r="A926" t="s">
        <v>2333</v>
      </c>
      <c r="B926" t="s">
        <v>53</v>
      </c>
      <c r="C926" t="s">
        <v>45</v>
      </c>
      <c r="D926" t="s">
        <v>1372</v>
      </c>
      <c r="E926">
        <v>70</v>
      </c>
      <c r="F926">
        <v>92</v>
      </c>
      <c r="G926">
        <v>74</v>
      </c>
      <c r="H926" s="1">
        <v>1</v>
      </c>
      <c r="I926" s="2">
        <v>45521</v>
      </c>
      <c r="J926" t="s">
        <v>2334</v>
      </c>
      <c r="K926">
        <v>95</v>
      </c>
      <c r="L926" t="str">
        <f>IF(Table1[[#This Row],[Sales_Volume]]&gt;Table1[[#This Row],[Stock_Quantity]],"Pending","Fulfilled")</f>
        <v>Pending</v>
      </c>
      <c r="M926">
        <v>4</v>
      </c>
      <c r="N926">
        <v>26</v>
      </c>
      <c r="O926" t="str">
        <f>IF(Table1[[#This Row],[Stock_Quantity]]&lt;=Table1[[#This Row],[Reorder_Level]],"Reoeder required","Sufficient")</f>
        <v>Reoeder required</v>
      </c>
      <c r="P926" t="str">
        <f>IF(Table1[[#This Row],[Stock_Quantity]]=0,"Out of stock","Available")</f>
        <v>Available</v>
      </c>
    </row>
    <row r="927" spans="1:16" x14ac:dyDescent="0.3">
      <c r="A927" t="s">
        <v>2335</v>
      </c>
      <c r="B927" t="s">
        <v>172</v>
      </c>
      <c r="C927" t="s">
        <v>31</v>
      </c>
      <c r="D927" t="s">
        <v>699</v>
      </c>
      <c r="E927">
        <v>73</v>
      </c>
      <c r="F927">
        <v>69</v>
      </c>
      <c r="G927">
        <v>1</v>
      </c>
      <c r="H927" s="1">
        <v>5</v>
      </c>
      <c r="I927" s="2">
        <v>45426</v>
      </c>
      <c r="J927" t="s">
        <v>2336</v>
      </c>
      <c r="K927">
        <v>50</v>
      </c>
      <c r="L927" t="str">
        <f>IF(Table1[[#This Row],[Sales_Volume]]&gt;Table1[[#This Row],[Stock_Quantity]],"Pending","Fulfilled")</f>
        <v>Fulfilled</v>
      </c>
      <c r="M927">
        <v>2</v>
      </c>
      <c r="N927">
        <v>67</v>
      </c>
      <c r="O927" t="str">
        <f>IF(Table1[[#This Row],[Stock_Quantity]]&lt;=Table1[[#This Row],[Reorder_Level]],"Reoeder required","Sufficient")</f>
        <v>Sufficient</v>
      </c>
      <c r="P927" t="str">
        <f>IF(Table1[[#This Row],[Stock_Quantity]]=0,"Out of stock","Available")</f>
        <v>Available</v>
      </c>
    </row>
    <row r="928" spans="1:16" x14ac:dyDescent="0.3">
      <c r="A928" t="s">
        <v>2337</v>
      </c>
      <c r="B928" t="s">
        <v>757</v>
      </c>
      <c r="C928" t="s">
        <v>31</v>
      </c>
      <c r="D928" t="s">
        <v>95</v>
      </c>
      <c r="E928">
        <v>60</v>
      </c>
      <c r="F928">
        <v>15</v>
      </c>
      <c r="G928">
        <v>89</v>
      </c>
      <c r="H928" s="1">
        <v>4</v>
      </c>
      <c r="I928" s="2">
        <v>45709</v>
      </c>
      <c r="J928" t="s">
        <v>2338</v>
      </c>
      <c r="K928">
        <v>21</v>
      </c>
      <c r="L928" t="str">
        <f>IF(Table1[[#This Row],[Sales_Volume]]&gt;Table1[[#This Row],[Stock_Quantity]],"Pending","Fulfilled")</f>
        <v>Fulfilled</v>
      </c>
      <c r="M928">
        <v>4</v>
      </c>
      <c r="N928">
        <v>29</v>
      </c>
      <c r="O928" t="str">
        <f>IF(Table1[[#This Row],[Stock_Quantity]]&lt;=Table1[[#This Row],[Reorder_Level]],"Reoeder required","Sufficient")</f>
        <v>Sufficient</v>
      </c>
      <c r="P928" t="str">
        <f>IF(Table1[[#This Row],[Stock_Quantity]]=0,"Out of stock","Available")</f>
        <v>Available</v>
      </c>
    </row>
    <row r="929" spans="1:16" x14ac:dyDescent="0.3">
      <c r="A929" t="s">
        <v>2339</v>
      </c>
      <c r="B929" t="s">
        <v>418</v>
      </c>
      <c r="C929" t="s">
        <v>31</v>
      </c>
      <c r="D929" t="s">
        <v>229</v>
      </c>
      <c r="E929">
        <v>88</v>
      </c>
      <c r="F929">
        <v>24</v>
      </c>
      <c r="G929">
        <v>44</v>
      </c>
      <c r="H929" s="1">
        <v>6</v>
      </c>
      <c r="I929" s="2">
        <v>45604</v>
      </c>
      <c r="J929" t="s">
        <v>2340</v>
      </c>
      <c r="K929">
        <v>72</v>
      </c>
      <c r="L929" t="str">
        <f>IF(Table1[[#This Row],[Sales_Volume]]&gt;Table1[[#This Row],[Stock_Quantity]],"Pending","Fulfilled")</f>
        <v>Fulfilled</v>
      </c>
      <c r="M929">
        <v>5</v>
      </c>
      <c r="N929">
        <v>88</v>
      </c>
      <c r="O929" t="str">
        <f>IF(Table1[[#This Row],[Stock_Quantity]]&lt;=Table1[[#This Row],[Reorder_Level]],"Reoeder required","Sufficient")</f>
        <v>Sufficient</v>
      </c>
      <c r="P929" t="str">
        <f>IF(Table1[[#This Row],[Stock_Quantity]]=0,"Out of stock","Available")</f>
        <v>Available</v>
      </c>
    </row>
    <row r="930" spans="1:16" x14ac:dyDescent="0.3">
      <c r="A930" t="s">
        <v>2341</v>
      </c>
      <c r="B930" t="s">
        <v>455</v>
      </c>
      <c r="C930" t="s">
        <v>31</v>
      </c>
      <c r="D930" t="s">
        <v>229</v>
      </c>
      <c r="E930">
        <v>95</v>
      </c>
      <c r="F930">
        <v>6</v>
      </c>
      <c r="G930">
        <v>59</v>
      </c>
      <c r="H930" s="1">
        <v>2.5</v>
      </c>
      <c r="I930" s="2">
        <v>45519</v>
      </c>
      <c r="J930" t="s">
        <v>2342</v>
      </c>
      <c r="K930">
        <v>49</v>
      </c>
      <c r="L930" t="str">
        <f>IF(Table1[[#This Row],[Sales_Volume]]&gt;Table1[[#This Row],[Stock_Quantity]],"Pending","Fulfilled")</f>
        <v>Fulfilled</v>
      </c>
      <c r="M930">
        <v>5</v>
      </c>
      <c r="N930">
        <v>77</v>
      </c>
      <c r="O930" t="str">
        <f>IF(Table1[[#This Row],[Stock_Quantity]]&lt;=Table1[[#This Row],[Reorder_Level]],"Reoeder required","Sufficient")</f>
        <v>Sufficient</v>
      </c>
      <c r="P930" t="str">
        <f>IF(Table1[[#This Row],[Stock_Quantity]]=0,"Out of stock","Available")</f>
        <v>Available</v>
      </c>
    </row>
    <row r="931" spans="1:16" x14ac:dyDescent="0.3">
      <c r="A931" t="s">
        <v>2343</v>
      </c>
      <c r="B931" t="s">
        <v>525</v>
      </c>
      <c r="C931" t="s">
        <v>13</v>
      </c>
      <c r="D931" t="s">
        <v>440</v>
      </c>
      <c r="E931">
        <v>47</v>
      </c>
      <c r="F931">
        <v>30</v>
      </c>
      <c r="G931">
        <v>16</v>
      </c>
      <c r="H931" s="1">
        <v>2.5</v>
      </c>
      <c r="I931" s="2">
        <v>45484</v>
      </c>
      <c r="J931" t="s">
        <v>2344</v>
      </c>
      <c r="K931">
        <v>22</v>
      </c>
      <c r="L931" t="str">
        <f>IF(Table1[[#This Row],[Sales_Volume]]&gt;Table1[[#This Row],[Stock_Quantity]],"Pending","Fulfilled")</f>
        <v>Fulfilled</v>
      </c>
      <c r="M931">
        <v>4</v>
      </c>
      <c r="N931">
        <v>81</v>
      </c>
      <c r="O931" t="str">
        <f>IF(Table1[[#This Row],[Stock_Quantity]]&lt;=Table1[[#This Row],[Reorder_Level]],"Reoeder required","Sufficient")</f>
        <v>Sufficient</v>
      </c>
      <c r="P931" t="str">
        <f>IF(Table1[[#This Row],[Stock_Quantity]]=0,"Out of stock","Available")</f>
        <v>Available</v>
      </c>
    </row>
    <row r="932" spans="1:16" x14ac:dyDescent="0.3">
      <c r="A932" t="s">
        <v>2345</v>
      </c>
      <c r="B932" t="s">
        <v>264</v>
      </c>
      <c r="C932" t="s">
        <v>45</v>
      </c>
      <c r="D932" t="s">
        <v>466</v>
      </c>
      <c r="E932">
        <v>24</v>
      </c>
      <c r="F932">
        <v>1</v>
      </c>
      <c r="G932">
        <v>65</v>
      </c>
      <c r="H932" s="1">
        <v>7</v>
      </c>
      <c r="I932" s="2">
        <v>45485</v>
      </c>
      <c r="J932" t="s">
        <v>2346</v>
      </c>
      <c r="K932">
        <v>58</v>
      </c>
      <c r="L932" t="str">
        <f>IF(Table1[[#This Row],[Sales_Volume]]&gt;Table1[[#This Row],[Stock_Quantity]],"Pending","Fulfilled")</f>
        <v>Pending</v>
      </c>
      <c r="M932">
        <v>8</v>
      </c>
      <c r="N932">
        <v>61</v>
      </c>
      <c r="O932" t="str">
        <f>IF(Table1[[#This Row],[Stock_Quantity]]&lt;=Table1[[#This Row],[Reorder_Level]],"Reoeder required","Sufficient")</f>
        <v>Sufficient</v>
      </c>
      <c r="P932" t="str">
        <f>IF(Table1[[#This Row],[Stock_Quantity]]=0,"Out of stock","Available")</f>
        <v>Available</v>
      </c>
    </row>
    <row r="933" spans="1:16" x14ac:dyDescent="0.3">
      <c r="A933" t="s">
        <v>2347</v>
      </c>
      <c r="B933" t="s">
        <v>610</v>
      </c>
      <c r="C933" t="s">
        <v>99</v>
      </c>
      <c r="D933" t="s">
        <v>705</v>
      </c>
      <c r="E933">
        <v>93</v>
      </c>
      <c r="F933">
        <v>51</v>
      </c>
      <c r="G933">
        <v>70</v>
      </c>
      <c r="H933" s="1">
        <v>10</v>
      </c>
      <c r="I933" s="2">
        <v>45455</v>
      </c>
      <c r="J933" t="s">
        <v>2348</v>
      </c>
      <c r="K933">
        <v>81</v>
      </c>
      <c r="L933" t="str">
        <f>IF(Table1[[#This Row],[Sales_Volume]]&gt;Table1[[#This Row],[Stock_Quantity]],"Pending","Fulfilled")</f>
        <v>Fulfilled</v>
      </c>
      <c r="M933">
        <v>5</v>
      </c>
      <c r="N933">
        <v>18</v>
      </c>
      <c r="O933" t="str">
        <f>IF(Table1[[#This Row],[Stock_Quantity]]&lt;=Table1[[#This Row],[Reorder_Level]],"Reoeder required","Sufficient")</f>
        <v>Sufficient</v>
      </c>
      <c r="P933" t="str">
        <f>IF(Table1[[#This Row],[Stock_Quantity]]=0,"Out of stock","Available")</f>
        <v>Available</v>
      </c>
    </row>
    <row r="934" spans="1:16" x14ac:dyDescent="0.3">
      <c r="A934" t="s">
        <v>2349</v>
      </c>
      <c r="B934" t="s">
        <v>657</v>
      </c>
      <c r="C934" t="s">
        <v>40</v>
      </c>
      <c r="D934" t="s">
        <v>2260</v>
      </c>
      <c r="E934">
        <v>80</v>
      </c>
      <c r="F934">
        <v>24</v>
      </c>
      <c r="G934">
        <v>60</v>
      </c>
      <c r="H934" s="1">
        <v>2.5</v>
      </c>
      <c r="I934" s="2">
        <v>45609</v>
      </c>
      <c r="J934" t="s">
        <v>2350</v>
      </c>
      <c r="K934">
        <v>98</v>
      </c>
      <c r="L934" t="str">
        <f>IF(Table1[[#This Row],[Sales_Volume]]&gt;Table1[[#This Row],[Stock_Quantity]],"Pending","Fulfilled")</f>
        <v>Pending</v>
      </c>
      <c r="M934">
        <v>8</v>
      </c>
      <c r="N934">
        <v>38</v>
      </c>
      <c r="O934" t="str">
        <f>IF(Table1[[#This Row],[Stock_Quantity]]&lt;=Table1[[#This Row],[Reorder_Level]],"Reoeder required","Sufficient")</f>
        <v>Sufficient</v>
      </c>
      <c r="P934" t="str">
        <f>IF(Table1[[#This Row],[Stock_Quantity]]=0,"Out of stock","Available")</f>
        <v>Available</v>
      </c>
    </row>
    <row r="935" spans="1:16" x14ac:dyDescent="0.3">
      <c r="A935" t="s">
        <v>2351</v>
      </c>
      <c r="B935" t="s">
        <v>926</v>
      </c>
      <c r="C935" t="s">
        <v>31</v>
      </c>
      <c r="D935" t="s">
        <v>501</v>
      </c>
      <c r="E935">
        <v>77</v>
      </c>
      <c r="F935">
        <v>58</v>
      </c>
      <c r="G935">
        <v>13</v>
      </c>
      <c r="H935" s="1">
        <v>3.5</v>
      </c>
      <c r="I935" s="2">
        <v>45435</v>
      </c>
      <c r="J935" t="s">
        <v>2352</v>
      </c>
      <c r="K935">
        <v>63</v>
      </c>
      <c r="L935" t="str">
        <f>IF(Table1[[#This Row],[Sales_Volume]]&gt;Table1[[#This Row],[Stock_Quantity]],"Pending","Fulfilled")</f>
        <v>Fulfilled</v>
      </c>
      <c r="M935">
        <v>5</v>
      </c>
      <c r="N935">
        <v>28</v>
      </c>
      <c r="O935" t="str">
        <f>IF(Table1[[#This Row],[Stock_Quantity]]&lt;=Table1[[#This Row],[Reorder_Level]],"Reoeder required","Sufficient")</f>
        <v>Sufficient</v>
      </c>
      <c r="P935" t="str">
        <f>IF(Table1[[#This Row],[Stock_Quantity]]=0,"Out of stock","Available")</f>
        <v>Available</v>
      </c>
    </row>
    <row r="936" spans="1:16" x14ac:dyDescent="0.3">
      <c r="A936" t="s">
        <v>2353</v>
      </c>
      <c r="B936" t="s">
        <v>103</v>
      </c>
      <c r="C936" t="s">
        <v>31</v>
      </c>
      <c r="D936" t="s">
        <v>485</v>
      </c>
      <c r="E936">
        <v>42</v>
      </c>
      <c r="F936">
        <v>48</v>
      </c>
      <c r="G936">
        <v>18</v>
      </c>
      <c r="H936" s="1">
        <v>2</v>
      </c>
      <c r="I936" s="2">
        <v>45401</v>
      </c>
      <c r="J936" t="s">
        <v>2354</v>
      </c>
      <c r="K936">
        <v>39</v>
      </c>
      <c r="L936" t="str">
        <f>IF(Table1[[#This Row],[Sales_Volume]]&gt;Table1[[#This Row],[Stock_Quantity]],"Pending","Fulfilled")</f>
        <v>Fulfilled</v>
      </c>
      <c r="M936">
        <v>4</v>
      </c>
      <c r="N936">
        <v>57</v>
      </c>
      <c r="O936" t="str">
        <f>IF(Table1[[#This Row],[Stock_Quantity]]&lt;=Table1[[#This Row],[Reorder_Level]],"Reoeder required","Sufficient")</f>
        <v>Reoeder required</v>
      </c>
      <c r="P936" t="str">
        <f>IF(Table1[[#This Row],[Stock_Quantity]]=0,"Out of stock","Available")</f>
        <v>Available</v>
      </c>
    </row>
    <row r="937" spans="1:16" x14ac:dyDescent="0.3">
      <c r="A937" t="s">
        <v>2355</v>
      </c>
      <c r="B937" t="s">
        <v>556</v>
      </c>
      <c r="C937" t="s">
        <v>45</v>
      </c>
      <c r="D937" t="s">
        <v>314</v>
      </c>
      <c r="E937">
        <v>92</v>
      </c>
      <c r="F937">
        <v>1</v>
      </c>
      <c r="G937">
        <v>23</v>
      </c>
      <c r="H937" s="1">
        <v>2.5</v>
      </c>
      <c r="I937" s="2">
        <v>45567</v>
      </c>
      <c r="J937" t="s">
        <v>2356</v>
      </c>
      <c r="K937">
        <v>78</v>
      </c>
      <c r="L937" t="str">
        <f>IF(Table1[[#This Row],[Sales_Volume]]&gt;Table1[[#This Row],[Stock_Quantity]],"Pending","Fulfilled")</f>
        <v>Fulfilled</v>
      </c>
      <c r="M937">
        <v>1</v>
      </c>
      <c r="N937">
        <v>36</v>
      </c>
      <c r="O937" t="str">
        <f>IF(Table1[[#This Row],[Stock_Quantity]]&lt;=Table1[[#This Row],[Reorder_Level]],"Reoeder required","Sufficient")</f>
        <v>Sufficient</v>
      </c>
      <c r="P937" t="str">
        <f>IF(Table1[[#This Row],[Stock_Quantity]]=0,"Out of stock","Available")</f>
        <v>Available</v>
      </c>
    </row>
    <row r="938" spans="1:16" x14ac:dyDescent="0.3">
      <c r="A938" t="s">
        <v>2357</v>
      </c>
      <c r="B938" t="s">
        <v>123</v>
      </c>
      <c r="C938" t="s">
        <v>31</v>
      </c>
      <c r="D938" t="s">
        <v>843</v>
      </c>
      <c r="E938">
        <v>81</v>
      </c>
      <c r="F938">
        <v>23</v>
      </c>
      <c r="G938">
        <v>17</v>
      </c>
      <c r="H938" s="1">
        <v>6.25</v>
      </c>
      <c r="I938" s="2">
        <v>45420</v>
      </c>
      <c r="J938" t="s">
        <v>2358</v>
      </c>
      <c r="K938">
        <v>92</v>
      </c>
      <c r="L938" t="str">
        <f>IF(Table1[[#This Row],[Sales_Volume]]&gt;Table1[[#This Row],[Stock_Quantity]],"Pending","Fulfilled")</f>
        <v>Pending</v>
      </c>
      <c r="M938">
        <v>1</v>
      </c>
      <c r="N938">
        <v>78</v>
      </c>
      <c r="O938" t="str">
        <f>IF(Table1[[#This Row],[Stock_Quantity]]&lt;=Table1[[#This Row],[Reorder_Level]],"Reoeder required","Sufficient")</f>
        <v>Sufficient</v>
      </c>
      <c r="P938" t="str">
        <f>IF(Table1[[#This Row],[Stock_Quantity]]=0,"Out of stock","Available")</f>
        <v>Available</v>
      </c>
    </row>
    <row r="939" spans="1:16" x14ac:dyDescent="0.3">
      <c r="A939" t="s">
        <v>2359</v>
      </c>
      <c r="B939" t="s">
        <v>359</v>
      </c>
      <c r="C939" t="s">
        <v>13</v>
      </c>
      <c r="D939" t="s">
        <v>2360</v>
      </c>
      <c r="E939">
        <v>46</v>
      </c>
      <c r="F939">
        <v>39</v>
      </c>
      <c r="G939">
        <v>11</v>
      </c>
      <c r="H939" s="1">
        <v>4.75</v>
      </c>
      <c r="I939" s="2">
        <v>45520</v>
      </c>
      <c r="J939" t="s">
        <v>2361</v>
      </c>
      <c r="K939">
        <v>36</v>
      </c>
      <c r="L939" t="str">
        <f>IF(Table1[[#This Row],[Sales_Volume]]&gt;Table1[[#This Row],[Stock_Quantity]],"Pending","Fulfilled")</f>
        <v>Fulfilled</v>
      </c>
      <c r="M939">
        <v>3</v>
      </c>
      <c r="N939">
        <v>54</v>
      </c>
      <c r="O939" t="str">
        <f>IF(Table1[[#This Row],[Stock_Quantity]]&lt;=Table1[[#This Row],[Reorder_Level]],"Reoeder required","Sufficient")</f>
        <v>Sufficient</v>
      </c>
      <c r="P939" t="str">
        <f>IF(Table1[[#This Row],[Stock_Quantity]]=0,"Out of stock","Available")</f>
        <v>Available</v>
      </c>
    </row>
    <row r="940" spans="1:16" x14ac:dyDescent="0.3">
      <c r="A940" t="s">
        <v>2362</v>
      </c>
      <c r="B940" t="s">
        <v>861</v>
      </c>
      <c r="C940" t="s">
        <v>13</v>
      </c>
      <c r="D940" t="s">
        <v>161</v>
      </c>
      <c r="E940">
        <v>44</v>
      </c>
      <c r="F940">
        <v>67</v>
      </c>
      <c r="G940">
        <v>31</v>
      </c>
      <c r="H940" s="1">
        <v>2.5</v>
      </c>
      <c r="I940" s="2">
        <v>45369</v>
      </c>
      <c r="J940" t="s">
        <v>2363</v>
      </c>
      <c r="K940">
        <v>44</v>
      </c>
      <c r="L940" t="str">
        <f>IF(Table1[[#This Row],[Sales_Volume]]&gt;Table1[[#This Row],[Stock_Quantity]],"Pending","Fulfilled")</f>
        <v>Fulfilled</v>
      </c>
      <c r="M940">
        <v>8</v>
      </c>
      <c r="N940">
        <v>72</v>
      </c>
      <c r="O940" t="str">
        <f>IF(Table1[[#This Row],[Stock_Quantity]]&lt;=Table1[[#This Row],[Reorder_Level]],"Reoeder required","Sufficient")</f>
        <v>Reoeder required</v>
      </c>
      <c r="P940" t="str">
        <f>IF(Table1[[#This Row],[Stock_Quantity]]=0,"Out of stock","Available")</f>
        <v>Available</v>
      </c>
    </row>
    <row r="941" spans="1:16" x14ac:dyDescent="0.3">
      <c r="A941" t="s">
        <v>2364</v>
      </c>
      <c r="B941" t="s">
        <v>187</v>
      </c>
      <c r="C941" t="s">
        <v>65</v>
      </c>
      <c r="D941" t="s">
        <v>680</v>
      </c>
      <c r="E941">
        <v>38</v>
      </c>
      <c r="F941">
        <v>37</v>
      </c>
      <c r="G941">
        <v>27</v>
      </c>
      <c r="H941" s="1">
        <v>3.5</v>
      </c>
      <c r="I941" s="2">
        <v>45570</v>
      </c>
      <c r="J941" t="s">
        <v>2365</v>
      </c>
      <c r="K941">
        <v>45</v>
      </c>
      <c r="L941" t="str">
        <f>IF(Table1[[#This Row],[Sales_Volume]]&gt;Table1[[#This Row],[Stock_Quantity]],"Pending","Fulfilled")</f>
        <v>Pending</v>
      </c>
      <c r="M941">
        <v>6</v>
      </c>
      <c r="N941">
        <v>88</v>
      </c>
      <c r="O941" t="str">
        <f>IF(Table1[[#This Row],[Stock_Quantity]]&lt;=Table1[[#This Row],[Reorder_Level]],"Reoeder required","Sufficient")</f>
        <v>Sufficient</v>
      </c>
      <c r="P941" t="str">
        <f>IF(Table1[[#This Row],[Stock_Quantity]]=0,"Out of stock","Available")</f>
        <v>Available</v>
      </c>
    </row>
    <row r="942" spans="1:16" x14ac:dyDescent="0.3">
      <c r="A942" t="s">
        <v>2366</v>
      </c>
      <c r="B942" t="s">
        <v>895</v>
      </c>
      <c r="C942" t="s">
        <v>45</v>
      </c>
      <c r="D942" t="s">
        <v>856</v>
      </c>
      <c r="E942">
        <v>64</v>
      </c>
      <c r="F942">
        <v>28</v>
      </c>
      <c r="G942">
        <v>35</v>
      </c>
      <c r="H942" s="1">
        <v>2</v>
      </c>
      <c r="I942" s="2">
        <v>45603</v>
      </c>
      <c r="J942" t="s">
        <v>2367</v>
      </c>
      <c r="K942">
        <v>74</v>
      </c>
      <c r="L942" t="str">
        <f>IF(Table1[[#This Row],[Sales_Volume]]&gt;Table1[[#This Row],[Stock_Quantity]],"Pending","Fulfilled")</f>
        <v>Pending</v>
      </c>
      <c r="M942">
        <v>3</v>
      </c>
      <c r="N942">
        <v>50</v>
      </c>
      <c r="O942" t="str">
        <f>IF(Table1[[#This Row],[Stock_Quantity]]&lt;=Table1[[#This Row],[Reorder_Level]],"Reoeder required","Sufficient")</f>
        <v>Sufficient</v>
      </c>
      <c r="P942" t="str">
        <f>IF(Table1[[#This Row],[Stock_Quantity]]=0,"Out of stock","Available")</f>
        <v>Available</v>
      </c>
    </row>
    <row r="943" spans="1:16" x14ac:dyDescent="0.3">
      <c r="A943" t="s">
        <v>2368</v>
      </c>
      <c r="B943" t="s">
        <v>26</v>
      </c>
      <c r="C943" t="s">
        <v>13</v>
      </c>
      <c r="D943" t="s">
        <v>1074</v>
      </c>
      <c r="E943">
        <v>39</v>
      </c>
      <c r="F943">
        <v>2</v>
      </c>
      <c r="G943">
        <v>71</v>
      </c>
      <c r="H943" s="1">
        <v>1.45</v>
      </c>
      <c r="I943" s="2">
        <v>45369</v>
      </c>
      <c r="J943" t="s">
        <v>2369</v>
      </c>
      <c r="K943">
        <v>20</v>
      </c>
      <c r="L943" t="str">
        <f>IF(Table1[[#This Row],[Sales_Volume]]&gt;Table1[[#This Row],[Stock_Quantity]],"Pending","Fulfilled")</f>
        <v>Fulfilled</v>
      </c>
      <c r="M943">
        <v>1</v>
      </c>
      <c r="N943">
        <v>70</v>
      </c>
      <c r="O943" t="str">
        <f>IF(Table1[[#This Row],[Stock_Quantity]]&lt;=Table1[[#This Row],[Reorder_Level]],"Reoeder required","Sufficient")</f>
        <v>Sufficient</v>
      </c>
      <c r="P943" t="str">
        <f>IF(Table1[[#This Row],[Stock_Quantity]]=0,"Out of stock","Available")</f>
        <v>Available</v>
      </c>
    </row>
    <row r="944" spans="1:16" x14ac:dyDescent="0.3">
      <c r="A944" t="s">
        <v>2370</v>
      </c>
      <c r="B944" t="s">
        <v>217</v>
      </c>
      <c r="C944" t="s">
        <v>65</v>
      </c>
      <c r="D944" t="s">
        <v>2047</v>
      </c>
      <c r="E944">
        <v>42</v>
      </c>
      <c r="F944">
        <v>88</v>
      </c>
      <c r="G944">
        <v>95</v>
      </c>
      <c r="H944" s="1">
        <v>2.5</v>
      </c>
      <c r="I944" s="2">
        <v>45685</v>
      </c>
      <c r="J944" t="s">
        <v>2371</v>
      </c>
      <c r="K944">
        <v>67</v>
      </c>
      <c r="L944" t="str">
        <f>IF(Table1[[#This Row],[Sales_Volume]]&gt;Table1[[#This Row],[Stock_Quantity]],"Pending","Fulfilled")</f>
        <v>Pending</v>
      </c>
      <c r="M944">
        <v>4</v>
      </c>
      <c r="N944">
        <v>94</v>
      </c>
      <c r="O944" t="str">
        <f>IF(Table1[[#This Row],[Stock_Quantity]]&lt;=Table1[[#This Row],[Reorder_Level]],"Reoeder required","Sufficient")</f>
        <v>Reoeder required</v>
      </c>
      <c r="P944" t="str">
        <f>IF(Table1[[#This Row],[Stock_Quantity]]=0,"Out of stock","Available")</f>
        <v>Available</v>
      </c>
    </row>
    <row r="945" spans="1:16" x14ac:dyDescent="0.3">
      <c r="A945" t="s">
        <v>2372</v>
      </c>
      <c r="B945" t="s">
        <v>60</v>
      </c>
      <c r="C945" t="s">
        <v>13</v>
      </c>
      <c r="D945" t="s">
        <v>574</v>
      </c>
      <c r="E945">
        <v>29</v>
      </c>
      <c r="F945">
        <v>54</v>
      </c>
      <c r="G945">
        <v>54</v>
      </c>
      <c r="H945" s="1">
        <v>2</v>
      </c>
      <c r="I945" s="2">
        <v>45712</v>
      </c>
      <c r="J945" t="s">
        <v>2373</v>
      </c>
      <c r="K945">
        <v>58</v>
      </c>
      <c r="L945" t="str">
        <f>IF(Table1[[#This Row],[Sales_Volume]]&gt;Table1[[#This Row],[Stock_Quantity]],"Pending","Fulfilled")</f>
        <v>Pending</v>
      </c>
      <c r="M945">
        <v>6</v>
      </c>
      <c r="N945">
        <v>63</v>
      </c>
      <c r="O945" t="str">
        <f>IF(Table1[[#This Row],[Stock_Quantity]]&lt;=Table1[[#This Row],[Reorder_Level]],"Reoeder required","Sufficient")</f>
        <v>Reoeder required</v>
      </c>
      <c r="P945" t="str">
        <f>IF(Table1[[#This Row],[Stock_Quantity]]=0,"Out of stock","Available")</f>
        <v>Available</v>
      </c>
    </row>
    <row r="946" spans="1:16" x14ac:dyDescent="0.3">
      <c r="A946" t="s">
        <v>2374</v>
      </c>
      <c r="B946" t="s">
        <v>134</v>
      </c>
      <c r="C946" t="s">
        <v>31</v>
      </c>
      <c r="D946" t="s">
        <v>473</v>
      </c>
      <c r="E946">
        <v>60</v>
      </c>
      <c r="F946">
        <v>63</v>
      </c>
      <c r="G946">
        <v>81</v>
      </c>
      <c r="H946" s="1">
        <v>1.8</v>
      </c>
      <c r="I946" s="2">
        <v>45568</v>
      </c>
      <c r="J946" t="s">
        <v>2375</v>
      </c>
      <c r="K946">
        <v>74</v>
      </c>
      <c r="L946" t="str">
        <f>IF(Table1[[#This Row],[Sales_Volume]]&gt;Table1[[#This Row],[Stock_Quantity]],"Pending","Fulfilled")</f>
        <v>Pending</v>
      </c>
      <c r="M946">
        <v>5</v>
      </c>
      <c r="N946">
        <v>31</v>
      </c>
      <c r="O946" t="str">
        <f>IF(Table1[[#This Row],[Stock_Quantity]]&lt;=Table1[[#This Row],[Reorder_Level]],"Reoeder required","Sufficient")</f>
        <v>Reoeder required</v>
      </c>
      <c r="P946" t="str">
        <f>IF(Table1[[#This Row],[Stock_Quantity]]=0,"Out of stock","Available")</f>
        <v>Available</v>
      </c>
    </row>
    <row r="947" spans="1:16" x14ac:dyDescent="0.3">
      <c r="A947" t="s">
        <v>2376</v>
      </c>
      <c r="B947" t="s">
        <v>111</v>
      </c>
      <c r="C947" t="s">
        <v>45</v>
      </c>
      <c r="D947" t="s">
        <v>687</v>
      </c>
      <c r="E947">
        <v>65</v>
      </c>
      <c r="F947">
        <v>54</v>
      </c>
      <c r="G947">
        <v>29</v>
      </c>
      <c r="H947" s="1">
        <v>12</v>
      </c>
      <c r="I947" s="2">
        <v>45625</v>
      </c>
      <c r="J947" t="s">
        <v>2377</v>
      </c>
      <c r="K947">
        <v>69</v>
      </c>
      <c r="L947" t="str">
        <f>IF(Table1[[#This Row],[Sales_Volume]]&gt;Table1[[#This Row],[Stock_Quantity]],"Pending","Fulfilled")</f>
        <v>Pending</v>
      </c>
      <c r="M947">
        <v>5</v>
      </c>
      <c r="N947">
        <v>79</v>
      </c>
      <c r="O947" t="str">
        <f>IF(Table1[[#This Row],[Stock_Quantity]]&lt;=Table1[[#This Row],[Reorder_Level]],"Reoeder required","Sufficient")</f>
        <v>Sufficient</v>
      </c>
      <c r="P947" t="str">
        <f>IF(Table1[[#This Row],[Stock_Quantity]]=0,"Out of stock","Available")</f>
        <v>Available</v>
      </c>
    </row>
    <row r="948" spans="1:16" x14ac:dyDescent="0.3">
      <c r="A948" t="s">
        <v>2378</v>
      </c>
      <c r="B948" t="s">
        <v>283</v>
      </c>
      <c r="C948" t="s">
        <v>31</v>
      </c>
      <c r="D948" t="s">
        <v>2379</v>
      </c>
      <c r="E948">
        <v>89</v>
      </c>
      <c r="F948">
        <v>96</v>
      </c>
      <c r="G948">
        <v>94</v>
      </c>
      <c r="H948" s="1">
        <v>4.5</v>
      </c>
      <c r="I948" s="2">
        <v>45663</v>
      </c>
      <c r="J948" t="s">
        <v>2380</v>
      </c>
      <c r="K948">
        <v>38</v>
      </c>
      <c r="L948" t="str">
        <f>IF(Table1[[#This Row],[Sales_Volume]]&gt;Table1[[#This Row],[Stock_Quantity]],"Pending","Fulfilled")</f>
        <v>Fulfilled</v>
      </c>
      <c r="M948">
        <v>4</v>
      </c>
      <c r="N948">
        <v>96</v>
      </c>
      <c r="O948" t="str">
        <f>IF(Table1[[#This Row],[Stock_Quantity]]&lt;=Table1[[#This Row],[Reorder_Level]],"Reoeder required","Sufficient")</f>
        <v>Reoeder required</v>
      </c>
      <c r="P948" t="str">
        <f>IF(Table1[[#This Row],[Stock_Quantity]]=0,"Out of stock","Available")</f>
        <v>Available</v>
      </c>
    </row>
    <row r="949" spans="1:16" x14ac:dyDescent="0.3">
      <c r="A949" t="s">
        <v>2381</v>
      </c>
      <c r="B949" t="s">
        <v>39</v>
      </c>
      <c r="C949" t="s">
        <v>40</v>
      </c>
      <c r="D949" t="s">
        <v>488</v>
      </c>
      <c r="E949">
        <v>50</v>
      </c>
      <c r="F949">
        <v>40</v>
      </c>
      <c r="G949">
        <v>69</v>
      </c>
      <c r="H949" s="1">
        <v>2.5</v>
      </c>
      <c r="I949" s="2">
        <v>45382</v>
      </c>
      <c r="J949" t="s">
        <v>2382</v>
      </c>
      <c r="K949">
        <v>28</v>
      </c>
      <c r="L949" t="str">
        <f>IF(Table1[[#This Row],[Sales_Volume]]&gt;Table1[[#This Row],[Stock_Quantity]],"Pending","Fulfilled")</f>
        <v>Fulfilled</v>
      </c>
      <c r="M949">
        <v>7</v>
      </c>
      <c r="N949">
        <v>98</v>
      </c>
      <c r="O949" t="str">
        <f>IF(Table1[[#This Row],[Stock_Quantity]]&lt;=Table1[[#This Row],[Reorder_Level]],"Reoeder required","Sufficient")</f>
        <v>Sufficient</v>
      </c>
      <c r="P949" t="str">
        <f>IF(Table1[[#This Row],[Stock_Quantity]]=0,"Out of stock","Available")</f>
        <v>Available</v>
      </c>
    </row>
    <row r="950" spans="1:16" x14ac:dyDescent="0.3">
      <c r="A950" t="s">
        <v>2383</v>
      </c>
      <c r="B950" t="s">
        <v>283</v>
      </c>
      <c r="C950" t="s">
        <v>31</v>
      </c>
      <c r="D950" t="s">
        <v>366</v>
      </c>
      <c r="E950">
        <v>94</v>
      </c>
      <c r="F950">
        <v>18</v>
      </c>
      <c r="G950">
        <v>84</v>
      </c>
      <c r="H950" s="1">
        <v>4.5</v>
      </c>
      <c r="I950" s="2">
        <v>45580</v>
      </c>
      <c r="J950" t="s">
        <v>2384</v>
      </c>
      <c r="K950">
        <v>44</v>
      </c>
      <c r="L950" t="str">
        <f>IF(Table1[[#This Row],[Sales_Volume]]&gt;Table1[[#This Row],[Stock_Quantity]],"Pending","Fulfilled")</f>
        <v>Fulfilled</v>
      </c>
      <c r="M950">
        <v>4</v>
      </c>
      <c r="N950">
        <v>49</v>
      </c>
      <c r="O950" t="str">
        <f>IF(Table1[[#This Row],[Stock_Quantity]]&lt;=Table1[[#This Row],[Reorder_Level]],"Reoeder required","Sufficient")</f>
        <v>Sufficient</v>
      </c>
      <c r="P950" t="str">
        <f>IF(Table1[[#This Row],[Stock_Quantity]]=0,"Out of stock","Available")</f>
        <v>Available</v>
      </c>
    </row>
    <row r="951" spans="1:16" x14ac:dyDescent="0.3">
      <c r="A951" t="s">
        <v>2385</v>
      </c>
      <c r="B951" t="s">
        <v>459</v>
      </c>
      <c r="C951" t="s">
        <v>40</v>
      </c>
      <c r="D951" t="s">
        <v>1707</v>
      </c>
      <c r="E951">
        <v>97</v>
      </c>
      <c r="F951">
        <v>32</v>
      </c>
      <c r="G951">
        <v>43</v>
      </c>
      <c r="H951" s="1">
        <v>2.2999999999999998</v>
      </c>
      <c r="I951" s="2">
        <v>45415</v>
      </c>
      <c r="J951" t="s">
        <v>2386</v>
      </c>
      <c r="K951">
        <v>82</v>
      </c>
      <c r="L951" t="str">
        <f>IF(Table1[[#This Row],[Sales_Volume]]&gt;Table1[[#This Row],[Stock_Quantity]],"Pending","Fulfilled")</f>
        <v>Fulfilled</v>
      </c>
      <c r="M951">
        <v>4</v>
      </c>
      <c r="N951">
        <v>98</v>
      </c>
      <c r="O951" t="str">
        <f>IF(Table1[[#This Row],[Stock_Quantity]]&lt;=Table1[[#This Row],[Reorder_Level]],"Reoeder required","Sufficient")</f>
        <v>Sufficient</v>
      </c>
      <c r="P951" t="str">
        <f>IF(Table1[[#This Row],[Stock_Quantity]]=0,"Out of stock","Available")</f>
        <v>Available</v>
      </c>
    </row>
    <row r="952" spans="1:16" x14ac:dyDescent="0.3">
      <c r="A952" t="s">
        <v>2387</v>
      </c>
      <c r="B952" t="s">
        <v>743</v>
      </c>
      <c r="C952" t="s">
        <v>65</v>
      </c>
      <c r="D952" t="s">
        <v>1599</v>
      </c>
      <c r="E952">
        <v>72</v>
      </c>
      <c r="F952">
        <v>78</v>
      </c>
      <c r="G952">
        <v>1</v>
      </c>
      <c r="H952" s="1">
        <v>4</v>
      </c>
      <c r="I952" s="2">
        <v>45379</v>
      </c>
      <c r="J952" t="s">
        <v>2388</v>
      </c>
      <c r="K952">
        <v>85</v>
      </c>
      <c r="L952" t="str">
        <f>IF(Table1[[#This Row],[Sales_Volume]]&gt;Table1[[#This Row],[Stock_Quantity]],"Pending","Fulfilled")</f>
        <v>Pending</v>
      </c>
      <c r="M952">
        <v>7</v>
      </c>
      <c r="N952">
        <v>30</v>
      </c>
      <c r="O952" t="str">
        <f>IF(Table1[[#This Row],[Stock_Quantity]]&lt;=Table1[[#This Row],[Reorder_Level]],"Reoeder required","Sufficient")</f>
        <v>Reoeder required</v>
      </c>
      <c r="P952" t="str">
        <f>IF(Table1[[#This Row],[Stock_Quantity]]=0,"Out of stock","Available")</f>
        <v>Available</v>
      </c>
    </row>
    <row r="953" spans="1:16" x14ac:dyDescent="0.3">
      <c r="A953" t="s">
        <v>2389</v>
      </c>
      <c r="B953" t="s">
        <v>313</v>
      </c>
      <c r="C953" t="s">
        <v>45</v>
      </c>
      <c r="D953" t="s">
        <v>2390</v>
      </c>
      <c r="E953">
        <v>62</v>
      </c>
      <c r="F953">
        <v>91</v>
      </c>
      <c r="G953">
        <v>14</v>
      </c>
      <c r="H953" s="1">
        <v>2.5</v>
      </c>
      <c r="I953" s="2">
        <v>45443</v>
      </c>
      <c r="J953" t="s">
        <v>2391</v>
      </c>
      <c r="K953">
        <v>41</v>
      </c>
      <c r="L953" t="str">
        <f>IF(Table1[[#This Row],[Sales_Volume]]&gt;Table1[[#This Row],[Stock_Quantity]],"Pending","Fulfilled")</f>
        <v>Fulfilled</v>
      </c>
      <c r="M953">
        <v>3</v>
      </c>
      <c r="N953">
        <v>77</v>
      </c>
      <c r="O953" t="str">
        <f>IF(Table1[[#This Row],[Stock_Quantity]]&lt;=Table1[[#This Row],[Reorder_Level]],"Reoeder required","Sufficient")</f>
        <v>Reoeder required</v>
      </c>
      <c r="P953" t="str">
        <f>IF(Table1[[#This Row],[Stock_Quantity]]=0,"Out of stock","Available")</f>
        <v>Available</v>
      </c>
    </row>
    <row r="954" spans="1:16" x14ac:dyDescent="0.3">
      <c r="A954" t="s">
        <v>2392</v>
      </c>
      <c r="B954" t="s">
        <v>926</v>
      </c>
      <c r="C954" t="s">
        <v>31</v>
      </c>
      <c r="D954" t="s">
        <v>981</v>
      </c>
      <c r="E954">
        <v>44</v>
      </c>
      <c r="F954">
        <v>92</v>
      </c>
      <c r="G954">
        <v>92</v>
      </c>
      <c r="H954" s="1">
        <v>3.5</v>
      </c>
      <c r="I954" s="2">
        <v>45668</v>
      </c>
      <c r="J954" t="s">
        <v>2393</v>
      </c>
      <c r="K954">
        <v>41</v>
      </c>
      <c r="L954" t="str">
        <f>IF(Table1[[#This Row],[Sales_Volume]]&gt;Table1[[#This Row],[Stock_Quantity]],"Pending","Fulfilled")</f>
        <v>Fulfilled</v>
      </c>
      <c r="M954">
        <v>7</v>
      </c>
      <c r="N954">
        <v>61</v>
      </c>
      <c r="O954" t="str">
        <f>IF(Table1[[#This Row],[Stock_Quantity]]&lt;=Table1[[#This Row],[Reorder_Level]],"Reoeder required","Sufficient")</f>
        <v>Reoeder required</v>
      </c>
      <c r="P954" t="str">
        <f>IF(Table1[[#This Row],[Stock_Quantity]]=0,"Out of stock","Available")</f>
        <v>Available</v>
      </c>
    </row>
    <row r="955" spans="1:16" x14ac:dyDescent="0.3">
      <c r="A955" t="s">
        <v>2394</v>
      </c>
      <c r="B955" t="s">
        <v>334</v>
      </c>
      <c r="C955" t="s">
        <v>40</v>
      </c>
      <c r="D955" t="s">
        <v>702</v>
      </c>
      <c r="E955">
        <v>21</v>
      </c>
      <c r="F955">
        <v>25</v>
      </c>
      <c r="G955">
        <v>39</v>
      </c>
      <c r="H955" s="1">
        <v>4</v>
      </c>
      <c r="I955" s="2">
        <v>45545</v>
      </c>
      <c r="J955" t="s">
        <v>2395</v>
      </c>
      <c r="K955">
        <v>79</v>
      </c>
      <c r="L955" t="str">
        <f>IF(Table1[[#This Row],[Sales_Volume]]&gt;Table1[[#This Row],[Stock_Quantity]],"Pending","Fulfilled")</f>
        <v>Pending</v>
      </c>
      <c r="M955">
        <v>2</v>
      </c>
      <c r="N955">
        <v>30</v>
      </c>
      <c r="O955" t="str">
        <f>IF(Table1[[#This Row],[Stock_Quantity]]&lt;=Table1[[#This Row],[Reorder_Level]],"Reoeder required","Sufficient")</f>
        <v>Reoeder required</v>
      </c>
      <c r="P955" t="str">
        <f>IF(Table1[[#This Row],[Stock_Quantity]]=0,"Out of stock","Available")</f>
        <v>Available</v>
      </c>
    </row>
    <row r="956" spans="1:16" x14ac:dyDescent="0.3">
      <c r="A956" t="s">
        <v>2396</v>
      </c>
      <c r="B956" t="s">
        <v>948</v>
      </c>
      <c r="C956" t="s">
        <v>13</v>
      </c>
      <c r="D956" t="s">
        <v>645</v>
      </c>
      <c r="E956">
        <v>91</v>
      </c>
      <c r="F956">
        <v>39</v>
      </c>
      <c r="G956">
        <v>48</v>
      </c>
      <c r="H956" s="1">
        <v>5</v>
      </c>
      <c r="I956" s="2">
        <v>45647</v>
      </c>
      <c r="J956" t="s">
        <v>2397</v>
      </c>
      <c r="K956">
        <v>48</v>
      </c>
      <c r="L956" t="str">
        <f>IF(Table1[[#This Row],[Sales_Volume]]&gt;Table1[[#This Row],[Stock_Quantity]],"Pending","Fulfilled")</f>
        <v>Fulfilled</v>
      </c>
      <c r="M956">
        <v>3</v>
      </c>
      <c r="N956">
        <v>18</v>
      </c>
      <c r="O956" t="str">
        <f>IF(Table1[[#This Row],[Stock_Quantity]]&lt;=Table1[[#This Row],[Reorder_Level]],"Reoeder required","Sufficient")</f>
        <v>Sufficient</v>
      </c>
      <c r="P956" t="str">
        <f>IF(Table1[[#This Row],[Stock_Quantity]]=0,"Out of stock","Available")</f>
        <v>Available</v>
      </c>
    </row>
    <row r="957" spans="1:16" x14ac:dyDescent="0.3">
      <c r="A957" t="s">
        <v>2398</v>
      </c>
      <c r="B957" t="s">
        <v>478</v>
      </c>
      <c r="C957" t="s">
        <v>99</v>
      </c>
      <c r="D957" t="s">
        <v>1082</v>
      </c>
      <c r="E957">
        <v>87</v>
      </c>
      <c r="F957">
        <v>24</v>
      </c>
      <c r="G957">
        <v>66</v>
      </c>
      <c r="H957" s="1">
        <v>18</v>
      </c>
      <c r="I957" s="2">
        <v>45620</v>
      </c>
      <c r="J957" t="s">
        <v>2399</v>
      </c>
      <c r="K957">
        <v>22</v>
      </c>
      <c r="L957" t="str">
        <f>IF(Table1[[#This Row],[Sales_Volume]]&gt;Table1[[#This Row],[Stock_Quantity]],"Pending","Fulfilled")</f>
        <v>Fulfilled</v>
      </c>
      <c r="M957">
        <v>5</v>
      </c>
      <c r="N957">
        <v>34</v>
      </c>
      <c r="O957" t="str">
        <f>IF(Table1[[#This Row],[Stock_Quantity]]&lt;=Table1[[#This Row],[Reorder_Level]],"Reoeder required","Sufficient")</f>
        <v>Sufficient</v>
      </c>
      <c r="P957" t="str">
        <f>IF(Table1[[#This Row],[Stock_Quantity]]=0,"Out of stock","Available")</f>
        <v>Available</v>
      </c>
    </row>
    <row r="958" spans="1:16" x14ac:dyDescent="0.3">
      <c r="A958" t="s">
        <v>2400</v>
      </c>
      <c r="B958" t="s">
        <v>94</v>
      </c>
      <c r="C958" t="s">
        <v>31</v>
      </c>
      <c r="D958" t="s">
        <v>1316</v>
      </c>
      <c r="E958">
        <v>61</v>
      </c>
      <c r="F958">
        <v>17</v>
      </c>
      <c r="G958">
        <v>69</v>
      </c>
      <c r="H958" s="1">
        <v>2.52</v>
      </c>
      <c r="I958" s="2">
        <v>45419</v>
      </c>
      <c r="J958" t="s">
        <v>2401</v>
      </c>
      <c r="K958">
        <v>31</v>
      </c>
      <c r="L958" t="str">
        <f>IF(Table1[[#This Row],[Sales_Volume]]&gt;Table1[[#This Row],[Stock_Quantity]],"Pending","Fulfilled")</f>
        <v>Fulfilled</v>
      </c>
      <c r="M958">
        <v>5</v>
      </c>
      <c r="N958">
        <v>29</v>
      </c>
      <c r="O958" t="str">
        <f>IF(Table1[[#This Row],[Stock_Quantity]]&lt;=Table1[[#This Row],[Reorder_Level]],"Reoeder required","Sufficient")</f>
        <v>Sufficient</v>
      </c>
      <c r="P958" t="str">
        <f>IF(Table1[[#This Row],[Stock_Quantity]]=0,"Out of stock","Available")</f>
        <v>Available</v>
      </c>
    </row>
    <row r="959" spans="1:16" x14ac:dyDescent="0.3">
      <c r="A959" t="s">
        <v>2402</v>
      </c>
      <c r="B959" t="s">
        <v>239</v>
      </c>
      <c r="C959" t="s">
        <v>31</v>
      </c>
      <c r="D959" t="s">
        <v>446</v>
      </c>
      <c r="E959">
        <v>61</v>
      </c>
      <c r="F959">
        <v>81</v>
      </c>
      <c r="G959">
        <v>99</v>
      </c>
      <c r="H959" s="1">
        <v>1.5</v>
      </c>
      <c r="I959" s="2">
        <v>45364</v>
      </c>
      <c r="J959" t="s">
        <v>2403</v>
      </c>
      <c r="K959">
        <v>26</v>
      </c>
      <c r="L959" t="str">
        <f>IF(Table1[[#This Row],[Sales_Volume]]&gt;Table1[[#This Row],[Stock_Quantity]],"Pending","Fulfilled")</f>
        <v>Fulfilled</v>
      </c>
      <c r="M959">
        <v>5</v>
      </c>
      <c r="N959">
        <v>76</v>
      </c>
      <c r="O959" t="str">
        <f>IF(Table1[[#This Row],[Stock_Quantity]]&lt;=Table1[[#This Row],[Reorder_Level]],"Reoeder required","Sufficient")</f>
        <v>Reoeder required</v>
      </c>
      <c r="P959" t="str">
        <f>IF(Table1[[#This Row],[Stock_Quantity]]=0,"Out of stock","Available")</f>
        <v>Available</v>
      </c>
    </row>
    <row r="960" spans="1:16" x14ac:dyDescent="0.3">
      <c r="A960" t="s">
        <v>2404</v>
      </c>
      <c r="B960" t="s">
        <v>1137</v>
      </c>
      <c r="C960" t="s">
        <v>31</v>
      </c>
      <c r="D960" t="s">
        <v>1581</v>
      </c>
      <c r="E960">
        <v>49</v>
      </c>
      <c r="F960">
        <v>1</v>
      </c>
      <c r="G960">
        <v>28</v>
      </c>
      <c r="H960" s="1">
        <v>2</v>
      </c>
      <c r="I960" s="2">
        <v>45649</v>
      </c>
      <c r="J960" t="s">
        <v>2405</v>
      </c>
      <c r="K960">
        <v>97</v>
      </c>
      <c r="L960" t="str">
        <f>IF(Table1[[#This Row],[Sales_Volume]]&gt;Table1[[#This Row],[Stock_Quantity]],"Pending","Fulfilled")</f>
        <v>Pending</v>
      </c>
      <c r="M960">
        <v>4</v>
      </c>
      <c r="N960">
        <v>95</v>
      </c>
      <c r="O960" t="str">
        <f>IF(Table1[[#This Row],[Stock_Quantity]]&lt;=Table1[[#This Row],[Reorder_Level]],"Reoeder required","Sufficient")</f>
        <v>Sufficient</v>
      </c>
      <c r="P960" t="str">
        <f>IF(Table1[[#This Row],[Stock_Quantity]]=0,"Out of stock","Available")</f>
        <v>Available</v>
      </c>
    </row>
    <row r="961" spans="1:16" x14ac:dyDescent="0.3">
      <c r="A961" t="s">
        <v>2406</v>
      </c>
      <c r="B961" t="s">
        <v>176</v>
      </c>
      <c r="C961" t="s">
        <v>31</v>
      </c>
      <c r="D961" t="s">
        <v>1732</v>
      </c>
      <c r="E961">
        <v>87</v>
      </c>
      <c r="F961">
        <v>1</v>
      </c>
      <c r="G961">
        <v>98</v>
      </c>
      <c r="H961" s="1">
        <v>2.5</v>
      </c>
      <c r="I961" s="2">
        <v>45572</v>
      </c>
      <c r="J961" t="s">
        <v>2407</v>
      </c>
      <c r="K961">
        <v>61</v>
      </c>
      <c r="L961" t="str">
        <f>IF(Table1[[#This Row],[Sales_Volume]]&gt;Table1[[#This Row],[Stock_Quantity]],"Pending","Fulfilled")</f>
        <v>Fulfilled</v>
      </c>
      <c r="M961">
        <v>2</v>
      </c>
      <c r="N961">
        <v>84</v>
      </c>
      <c r="O961" t="str">
        <f>IF(Table1[[#This Row],[Stock_Quantity]]&lt;=Table1[[#This Row],[Reorder_Level]],"Reoeder required","Sufficient")</f>
        <v>Sufficient</v>
      </c>
      <c r="P961" t="str">
        <f>IF(Table1[[#This Row],[Stock_Quantity]]=0,"Out of stock","Available")</f>
        <v>Available</v>
      </c>
    </row>
    <row r="962" spans="1:16" x14ac:dyDescent="0.3">
      <c r="A962" t="s">
        <v>2408</v>
      </c>
      <c r="B962" t="s">
        <v>187</v>
      </c>
      <c r="C962" t="s">
        <v>65</v>
      </c>
      <c r="D962" t="s">
        <v>208</v>
      </c>
      <c r="E962">
        <v>93</v>
      </c>
      <c r="F962">
        <v>55</v>
      </c>
      <c r="G962">
        <v>95</v>
      </c>
      <c r="H962" s="1">
        <v>3.25</v>
      </c>
      <c r="I962" s="2">
        <v>45356</v>
      </c>
      <c r="J962" t="s">
        <v>2409</v>
      </c>
      <c r="K962">
        <v>56</v>
      </c>
      <c r="L962" t="str">
        <f>IF(Table1[[#This Row],[Sales_Volume]]&gt;Table1[[#This Row],[Stock_Quantity]],"Pending","Fulfilled")</f>
        <v>Fulfilled</v>
      </c>
      <c r="M962">
        <v>8</v>
      </c>
      <c r="N962">
        <v>72</v>
      </c>
      <c r="O962" t="str">
        <f>IF(Table1[[#This Row],[Stock_Quantity]]&lt;=Table1[[#This Row],[Reorder_Level]],"Reoeder required","Sufficient")</f>
        <v>Sufficient</v>
      </c>
      <c r="P962" t="str">
        <f>IF(Table1[[#This Row],[Stock_Quantity]]=0,"Out of stock","Available")</f>
        <v>Available</v>
      </c>
    </row>
    <row r="963" spans="1:16" x14ac:dyDescent="0.3">
      <c r="A963" t="s">
        <v>2410</v>
      </c>
      <c r="B963" t="s">
        <v>631</v>
      </c>
      <c r="C963" t="s">
        <v>13</v>
      </c>
      <c r="D963" t="s">
        <v>506</v>
      </c>
      <c r="E963">
        <v>55</v>
      </c>
      <c r="F963">
        <v>13</v>
      </c>
      <c r="G963">
        <v>71</v>
      </c>
      <c r="H963" s="1">
        <v>4.45</v>
      </c>
      <c r="I963" s="2">
        <v>45587</v>
      </c>
      <c r="J963" t="s">
        <v>2411</v>
      </c>
      <c r="K963">
        <v>37</v>
      </c>
      <c r="L963" t="str">
        <f>IF(Table1[[#This Row],[Sales_Volume]]&gt;Table1[[#This Row],[Stock_Quantity]],"Pending","Fulfilled")</f>
        <v>Fulfilled</v>
      </c>
      <c r="M963">
        <v>6</v>
      </c>
      <c r="N963">
        <v>4</v>
      </c>
      <c r="O963" t="str">
        <f>IF(Table1[[#This Row],[Stock_Quantity]]&lt;=Table1[[#This Row],[Reorder_Level]],"Reoeder required","Sufficient")</f>
        <v>Sufficient</v>
      </c>
      <c r="P963" t="str">
        <f>IF(Table1[[#This Row],[Stock_Quantity]]=0,"Out of stock","Available")</f>
        <v>Available</v>
      </c>
    </row>
    <row r="964" spans="1:16" x14ac:dyDescent="0.3">
      <c r="A964" t="s">
        <v>2412</v>
      </c>
      <c r="B964" t="s">
        <v>494</v>
      </c>
      <c r="C964" t="s">
        <v>45</v>
      </c>
      <c r="D964" t="s">
        <v>1783</v>
      </c>
      <c r="E964">
        <v>29</v>
      </c>
      <c r="F964">
        <v>39</v>
      </c>
      <c r="G964">
        <v>80</v>
      </c>
      <c r="H964" s="1">
        <v>4</v>
      </c>
      <c r="I964" s="2">
        <v>45599</v>
      </c>
      <c r="J964" t="s">
        <v>2413</v>
      </c>
      <c r="K964">
        <v>23</v>
      </c>
      <c r="L964" t="str">
        <f>IF(Table1[[#This Row],[Sales_Volume]]&gt;Table1[[#This Row],[Stock_Quantity]],"Pending","Fulfilled")</f>
        <v>Fulfilled</v>
      </c>
      <c r="M964">
        <v>3</v>
      </c>
      <c r="N964">
        <v>85</v>
      </c>
      <c r="O964" t="str">
        <f>IF(Table1[[#This Row],[Stock_Quantity]]&lt;=Table1[[#This Row],[Reorder_Level]],"Reoeder required","Sufficient")</f>
        <v>Reoeder required</v>
      </c>
      <c r="P964" t="str">
        <f>IF(Table1[[#This Row],[Stock_Quantity]]=0,"Out of stock","Available")</f>
        <v>Available</v>
      </c>
    </row>
    <row r="965" spans="1:16" x14ac:dyDescent="0.3">
      <c r="A965" t="s">
        <v>2414</v>
      </c>
      <c r="B965" t="s">
        <v>1662</v>
      </c>
      <c r="C965" t="s">
        <v>45</v>
      </c>
      <c r="D965" t="s">
        <v>73</v>
      </c>
      <c r="E965">
        <v>63</v>
      </c>
      <c r="F965">
        <v>62</v>
      </c>
      <c r="G965">
        <v>18</v>
      </c>
      <c r="H965" s="1">
        <v>0.2</v>
      </c>
      <c r="I965" s="2">
        <v>45384</v>
      </c>
      <c r="J965" t="s">
        <v>2415</v>
      </c>
      <c r="K965">
        <v>67</v>
      </c>
      <c r="L965" t="str">
        <f>IF(Table1[[#This Row],[Sales_Volume]]&gt;Table1[[#This Row],[Stock_Quantity]],"Pending","Fulfilled")</f>
        <v>Pending</v>
      </c>
      <c r="M965">
        <v>1</v>
      </c>
      <c r="N965">
        <v>17</v>
      </c>
      <c r="O965" t="str">
        <f>IF(Table1[[#This Row],[Stock_Quantity]]&lt;=Table1[[#This Row],[Reorder_Level]],"Reoeder required","Sufficient")</f>
        <v>Sufficient</v>
      </c>
      <c r="P965" t="str">
        <f>IF(Table1[[#This Row],[Stock_Quantity]]=0,"Out of stock","Available")</f>
        <v>Available</v>
      </c>
    </row>
    <row r="966" spans="1:16" x14ac:dyDescent="0.3">
      <c r="A966" t="s">
        <v>2416</v>
      </c>
      <c r="B966" t="s">
        <v>299</v>
      </c>
      <c r="C966" t="s">
        <v>31</v>
      </c>
      <c r="D966" t="s">
        <v>1491</v>
      </c>
      <c r="E966">
        <v>42</v>
      </c>
      <c r="F966">
        <v>69</v>
      </c>
      <c r="G966">
        <v>54</v>
      </c>
      <c r="H966" s="1">
        <v>1.2</v>
      </c>
      <c r="I966" s="2">
        <v>45357</v>
      </c>
      <c r="J966" t="s">
        <v>2417</v>
      </c>
      <c r="K966">
        <v>43</v>
      </c>
      <c r="L966" t="str">
        <f>IF(Table1[[#This Row],[Sales_Volume]]&gt;Table1[[#This Row],[Stock_Quantity]],"Pending","Fulfilled")</f>
        <v>Pending</v>
      </c>
      <c r="M966">
        <v>5</v>
      </c>
      <c r="N966">
        <v>96</v>
      </c>
      <c r="O966" t="str">
        <f>IF(Table1[[#This Row],[Stock_Quantity]]&lt;=Table1[[#This Row],[Reorder_Level]],"Reoeder required","Sufficient")</f>
        <v>Reoeder required</v>
      </c>
      <c r="P966" t="str">
        <f>IF(Table1[[#This Row],[Stock_Quantity]]=0,"Out of stock","Available")</f>
        <v>Available</v>
      </c>
    </row>
    <row r="967" spans="1:16" x14ac:dyDescent="0.3">
      <c r="A967" t="s">
        <v>2418</v>
      </c>
      <c r="B967" t="s">
        <v>154</v>
      </c>
      <c r="C967" t="s">
        <v>31</v>
      </c>
      <c r="D967" t="s">
        <v>2193</v>
      </c>
      <c r="E967">
        <v>74</v>
      </c>
      <c r="F967">
        <v>4</v>
      </c>
      <c r="G967">
        <v>39</v>
      </c>
      <c r="H967" s="1">
        <v>2</v>
      </c>
      <c r="I967" s="2">
        <v>45387</v>
      </c>
      <c r="J967" t="s">
        <v>2419</v>
      </c>
      <c r="K967">
        <v>97</v>
      </c>
      <c r="L967" t="str">
        <f>IF(Table1[[#This Row],[Sales_Volume]]&gt;Table1[[#This Row],[Stock_Quantity]],"Pending","Fulfilled")</f>
        <v>Pending</v>
      </c>
      <c r="M967">
        <v>7</v>
      </c>
      <c r="N967">
        <v>24</v>
      </c>
      <c r="O967" t="str">
        <f>IF(Table1[[#This Row],[Stock_Quantity]]&lt;=Table1[[#This Row],[Reorder_Level]],"Reoeder required","Sufficient")</f>
        <v>Sufficient</v>
      </c>
      <c r="P967" t="str">
        <f>IF(Table1[[#This Row],[Stock_Quantity]]=0,"Out of stock","Available")</f>
        <v>Available</v>
      </c>
    </row>
    <row r="968" spans="1:16" x14ac:dyDescent="0.3">
      <c r="A968" t="s">
        <v>2420</v>
      </c>
      <c r="B968" t="s">
        <v>168</v>
      </c>
      <c r="C968" t="s">
        <v>13</v>
      </c>
      <c r="D968" t="s">
        <v>1637</v>
      </c>
      <c r="E968">
        <v>22</v>
      </c>
      <c r="F968">
        <v>77</v>
      </c>
      <c r="G968">
        <v>15</v>
      </c>
      <c r="H968" s="1">
        <v>3</v>
      </c>
      <c r="I968" s="2">
        <v>45441</v>
      </c>
      <c r="J968" t="s">
        <v>2421</v>
      </c>
      <c r="K968">
        <v>68</v>
      </c>
      <c r="L968" t="str">
        <f>IF(Table1[[#This Row],[Sales_Volume]]&gt;Table1[[#This Row],[Stock_Quantity]],"Pending","Fulfilled")</f>
        <v>Pending</v>
      </c>
      <c r="M968">
        <v>1</v>
      </c>
      <c r="N968">
        <v>46</v>
      </c>
      <c r="O968" t="str">
        <f>IF(Table1[[#This Row],[Stock_Quantity]]&lt;=Table1[[#This Row],[Reorder_Level]],"Reoeder required","Sufficient")</f>
        <v>Reoeder required</v>
      </c>
      <c r="P968" t="str">
        <f>IF(Table1[[#This Row],[Stock_Quantity]]=0,"Out of stock","Available")</f>
        <v>Available</v>
      </c>
    </row>
    <row r="969" spans="1:16" x14ac:dyDescent="0.3">
      <c r="A969" t="s">
        <v>2422</v>
      </c>
      <c r="B969" t="s">
        <v>1662</v>
      </c>
      <c r="C969" t="s">
        <v>45</v>
      </c>
      <c r="D969" t="s">
        <v>473</v>
      </c>
      <c r="E969">
        <v>83</v>
      </c>
      <c r="F969">
        <v>35</v>
      </c>
      <c r="G969">
        <v>43</v>
      </c>
      <c r="H969" s="1">
        <v>0.2</v>
      </c>
      <c r="I969" s="2">
        <v>45530</v>
      </c>
      <c r="J969" t="s">
        <v>2423</v>
      </c>
      <c r="K969">
        <v>94</v>
      </c>
      <c r="L969" t="str">
        <f>IF(Table1[[#This Row],[Sales_Volume]]&gt;Table1[[#This Row],[Stock_Quantity]],"Pending","Fulfilled")</f>
        <v>Pending</v>
      </c>
      <c r="M969">
        <v>1</v>
      </c>
      <c r="N969">
        <v>68</v>
      </c>
      <c r="O969" t="str">
        <f>IF(Table1[[#This Row],[Stock_Quantity]]&lt;=Table1[[#This Row],[Reorder_Level]],"Reoeder required","Sufficient")</f>
        <v>Sufficient</v>
      </c>
      <c r="P969" t="str">
        <f>IF(Table1[[#This Row],[Stock_Quantity]]=0,"Out of stock","Available")</f>
        <v>Available</v>
      </c>
    </row>
    <row r="970" spans="1:16" x14ac:dyDescent="0.3">
      <c r="A970" t="s">
        <v>2424</v>
      </c>
      <c r="B970" t="s">
        <v>1093</v>
      </c>
      <c r="C970" t="s">
        <v>13</v>
      </c>
      <c r="D970" t="s">
        <v>184</v>
      </c>
      <c r="E970">
        <v>32</v>
      </c>
      <c r="F970">
        <v>91</v>
      </c>
      <c r="G970">
        <v>80</v>
      </c>
      <c r="H970" s="1">
        <v>10</v>
      </c>
      <c r="I970" s="2">
        <v>45532</v>
      </c>
      <c r="J970" t="s">
        <v>2425</v>
      </c>
      <c r="K970">
        <v>69</v>
      </c>
      <c r="L970" t="str">
        <f>IF(Table1[[#This Row],[Sales_Volume]]&gt;Table1[[#This Row],[Stock_Quantity]],"Pending","Fulfilled")</f>
        <v>Pending</v>
      </c>
      <c r="M970">
        <v>5</v>
      </c>
      <c r="N970">
        <v>80</v>
      </c>
      <c r="O970" t="str">
        <f>IF(Table1[[#This Row],[Stock_Quantity]]&lt;=Table1[[#This Row],[Reorder_Level]],"Reoeder required","Sufficient")</f>
        <v>Reoeder required</v>
      </c>
      <c r="P970" t="str">
        <f>IF(Table1[[#This Row],[Stock_Quantity]]=0,"Out of stock","Available")</f>
        <v>Available</v>
      </c>
    </row>
    <row r="971" spans="1:16" x14ac:dyDescent="0.3">
      <c r="A971" t="s">
        <v>2426</v>
      </c>
      <c r="B971" t="s">
        <v>926</v>
      </c>
      <c r="C971" t="s">
        <v>31</v>
      </c>
      <c r="D971" t="s">
        <v>1913</v>
      </c>
      <c r="E971">
        <v>84</v>
      </c>
      <c r="F971">
        <v>46</v>
      </c>
      <c r="G971">
        <v>80</v>
      </c>
      <c r="H971" s="1">
        <v>3.5</v>
      </c>
      <c r="I971" s="2">
        <v>45567</v>
      </c>
      <c r="J971" t="s">
        <v>2427</v>
      </c>
      <c r="K971">
        <v>66</v>
      </c>
      <c r="L971" t="str">
        <f>IF(Table1[[#This Row],[Sales_Volume]]&gt;Table1[[#This Row],[Stock_Quantity]],"Pending","Fulfilled")</f>
        <v>Fulfilled</v>
      </c>
      <c r="M971">
        <v>7</v>
      </c>
      <c r="N971">
        <v>84</v>
      </c>
      <c r="O971" t="str">
        <f>IF(Table1[[#This Row],[Stock_Quantity]]&lt;=Table1[[#This Row],[Reorder_Level]],"Reoeder required","Sufficient")</f>
        <v>Sufficient</v>
      </c>
      <c r="P971" t="str">
        <f>IF(Table1[[#This Row],[Stock_Quantity]]=0,"Out of stock","Available")</f>
        <v>Available</v>
      </c>
    </row>
    <row r="972" spans="1:16" x14ac:dyDescent="0.3">
      <c r="A972" t="s">
        <v>2428</v>
      </c>
      <c r="B972" t="s">
        <v>30</v>
      </c>
      <c r="C972" t="s">
        <v>31</v>
      </c>
      <c r="D972" t="s">
        <v>1082</v>
      </c>
      <c r="E972">
        <v>22</v>
      </c>
      <c r="F972">
        <v>56</v>
      </c>
      <c r="G972">
        <v>72</v>
      </c>
      <c r="H972" s="1">
        <v>4</v>
      </c>
      <c r="I972" s="2">
        <v>45451</v>
      </c>
      <c r="J972" t="s">
        <v>2429</v>
      </c>
      <c r="K972">
        <v>70</v>
      </c>
      <c r="L972" t="str">
        <f>IF(Table1[[#This Row],[Sales_Volume]]&gt;Table1[[#This Row],[Stock_Quantity]],"Pending","Fulfilled")</f>
        <v>Pending</v>
      </c>
      <c r="M972">
        <v>3</v>
      </c>
      <c r="N972">
        <v>39</v>
      </c>
      <c r="O972" t="str">
        <f>IF(Table1[[#This Row],[Stock_Quantity]]&lt;=Table1[[#This Row],[Reorder_Level]],"Reoeder required","Sufficient")</f>
        <v>Reoeder required</v>
      </c>
      <c r="P972" t="str">
        <f>IF(Table1[[#This Row],[Stock_Quantity]]=0,"Out of stock","Available")</f>
        <v>Available</v>
      </c>
    </row>
    <row r="973" spans="1:16" x14ac:dyDescent="0.3">
      <c r="A973" t="s">
        <v>2430</v>
      </c>
      <c r="B973" t="s">
        <v>309</v>
      </c>
      <c r="C973" t="s">
        <v>31</v>
      </c>
      <c r="D973" t="s">
        <v>1316</v>
      </c>
      <c r="E973">
        <v>100</v>
      </c>
      <c r="F973">
        <v>52</v>
      </c>
      <c r="G973">
        <v>2</v>
      </c>
      <c r="H973" s="1">
        <v>3</v>
      </c>
      <c r="I973" s="2">
        <v>45625</v>
      </c>
      <c r="J973" t="s">
        <v>2431</v>
      </c>
      <c r="K973">
        <v>86</v>
      </c>
      <c r="L973" t="str">
        <f>IF(Table1[[#This Row],[Sales_Volume]]&gt;Table1[[#This Row],[Stock_Quantity]],"Pending","Fulfilled")</f>
        <v>Fulfilled</v>
      </c>
      <c r="M973">
        <v>8</v>
      </c>
      <c r="N973">
        <v>70</v>
      </c>
      <c r="O973" t="str">
        <f>IF(Table1[[#This Row],[Stock_Quantity]]&lt;=Table1[[#This Row],[Reorder_Level]],"Reoeder required","Sufficient")</f>
        <v>Sufficient</v>
      </c>
      <c r="P973" t="str">
        <f>IF(Table1[[#This Row],[Stock_Quantity]]=0,"Out of stock","Available")</f>
        <v>Available</v>
      </c>
    </row>
    <row r="974" spans="1:16" x14ac:dyDescent="0.3">
      <c r="A974" t="s">
        <v>2432</v>
      </c>
      <c r="B974" t="s">
        <v>549</v>
      </c>
      <c r="C974" t="s">
        <v>45</v>
      </c>
      <c r="D974" t="s">
        <v>1852</v>
      </c>
      <c r="E974">
        <v>36</v>
      </c>
      <c r="F974">
        <v>77</v>
      </c>
      <c r="G974">
        <v>49</v>
      </c>
      <c r="H974" s="1">
        <v>9</v>
      </c>
      <c r="I974" s="2">
        <v>45589</v>
      </c>
      <c r="J974" t="s">
        <v>2433</v>
      </c>
      <c r="K974">
        <v>30</v>
      </c>
      <c r="L974" t="str">
        <f>IF(Table1[[#This Row],[Sales_Volume]]&gt;Table1[[#This Row],[Stock_Quantity]],"Pending","Fulfilled")</f>
        <v>Fulfilled</v>
      </c>
      <c r="M974">
        <v>3</v>
      </c>
      <c r="N974">
        <v>84</v>
      </c>
      <c r="O974" t="str">
        <f>IF(Table1[[#This Row],[Stock_Quantity]]&lt;=Table1[[#This Row],[Reorder_Level]],"Reoeder required","Sufficient")</f>
        <v>Reoeder required</v>
      </c>
      <c r="P974" t="str">
        <f>IF(Table1[[#This Row],[Stock_Quantity]]=0,"Out of stock","Available")</f>
        <v>Available</v>
      </c>
    </row>
    <row r="975" spans="1:16" x14ac:dyDescent="0.3">
      <c r="A975" t="s">
        <v>2434</v>
      </c>
      <c r="B975" t="s">
        <v>876</v>
      </c>
      <c r="C975" t="s">
        <v>99</v>
      </c>
      <c r="D975" t="s">
        <v>692</v>
      </c>
      <c r="E975">
        <v>14</v>
      </c>
      <c r="F975">
        <v>67</v>
      </c>
      <c r="G975">
        <v>65</v>
      </c>
      <c r="H975" s="1">
        <v>20</v>
      </c>
      <c r="I975" s="2">
        <v>45584</v>
      </c>
      <c r="J975" t="s">
        <v>2435</v>
      </c>
      <c r="K975">
        <v>71</v>
      </c>
      <c r="L975" t="str">
        <f>IF(Table1[[#This Row],[Sales_Volume]]&gt;Table1[[#This Row],[Stock_Quantity]],"Pending","Fulfilled")</f>
        <v>Pending</v>
      </c>
      <c r="M975">
        <v>2</v>
      </c>
      <c r="N975">
        <v>94</v>
      </c>
      <c r="O975" t="str">
        <f>IF(Table1[[#This Row],[Stock_Quantity]]&lt;=Table1[[#This Row],[Reorder_Level]],"Reoeder required","Sufficient")</f>
        <v>Reoeder required</v>
      </c>
      <c r="P975" t="str">
        <f>IF(Table1[[#This Row],[Stock_Quantity]]=0,"Out of stock","Available")</f>
        <v>Available</v>
      </c>
    </row>
    <row r="976" spans="1:16" x14ac:dyDescent="0.3">
      <c r="A976" t="s">
        <v>2436</v>
      </c>
      <c r="B976" t="s">
        <v>60</v>
      </c>
      <c r="C976" t="s">
        <v>13</v>
      </c>
      <c r="D976" t="s">
        <v>1986</v>
      </c>
      <c r="E976">
        <v>38</v>
      </c>
      <c r="F976">
        <v>82</v>
      </c>
      <c r="G976">
        <v>17</v>
      </c>
      <c r="H976" s="1">
        <v>2</v>
      </c>
      <c r="I976" s="2">
        <v>45372</v>
      </c>
      <c r="J976" t="s">
        <v>2437</v>
      </c>
      <c r="K976">
        <v>52</v>
      </c>
      <c r="L976" t="str">
        <f>IF(Table1[[#This Row],[Sales_Volume]]&gt;Table1[[#This Row],[Stock_Quantity]],"Pending","Fulfilled")</f>
        <v>Pending</v>
      </c>
      <c r="M976">
        <v>5</v>
      </c>
      <c r="N976">
        <v>47</v>
      </c>
      <c r="O976" t="str">
        <f>IF(Table1[[#This Row],[Stock_Quantity]]&lt;=Table1[[#This Row],[Reorder_Level]],"Reoeder required","Sufficient")</f>
        <v>Reoeder required</v>
      </c>
      <c r="P976" t="str">
        <f>IF(Table1[[#This Row],[Stock_Quantity]]=0,"Out of stock","Available")</f>
        <v>Available</v>
      </c>
    </row>
    <row r="977" spans="1:16" x14ac:dyDescent="0.3">
      <c r="A977" t="s">
        <v>2438</v>
      </c>
      <c r="B977" t="s">
        <v>272</v>
      </c>
      <c r="C977" t="s">
        <v>31</v>
      </c>
      <c r="D977" t="s">
        <v>276</v>
      </c>
      <c r="E977">
        <v>97</v>
      </c>
      <c r="F977">
        <v>52</v>
      </c>
      <c r="G977">
        <v>80</v>
      </c>
      <c r="H977" s="1">
        <v>3</v>
      </c>
      <c r="I977" s="2">
        <v>45490</v>
      </c>
      <c r="J977" t="s">
        <v>2439</v>
      </c>
      <c r="K977">
        <v>22</v>
      </c>
      <c r="L977" t="str">
        <f>IF(Table1[[#This Row],[Sales_Volume]]&gt;Table1[[#This Row],[Stock_Quantity]],"Pending","Fulfilled")</f>
        <v>Fulfilled</v>
      </c>
      <c r="M977">
        <v>2</v>
      </c>
      <c r="N977">
        <v>90</v>
      </c>
      <c r="O977" t="str">
        <f>IF(Table1[[#This Row],[Stock_Quantity]]&lt;=Table1[[#This Row],[Reorder_Level]],"Reoeder required","Sufficient")</f>
        <v>Sufficient</v>
      </c>
      <c r="P977" t="str">
        <f>IF(Table1[[#This Row],[Stock_Quantity]]=0,"Out of stock","Available")</f>
        <v>Available</v>
      </c>
    </row>
    <row r="978" spans="1:16" x14ac:dyDescent="0.3">
      <c r="A978" t="s">
        <v>2440</v>
      </c>
      <c r="B978" t="s">
        <v>514</v>
      </c>
      <c r="C978" t="s">
        <v>18</v>
      </c>
      <c r="D978" t="s">
        <v>754</v>
      </c>
      <c r="E978">
        <v>64</v>
      </c>
      <c r="F978">
        <v>66</v>
      </c>
      <c r="G978">
        <v>28</v>
      </c>
      <c r="H978" s="1">
        <v>8</v>
      </c>
      <c r="I978" s="2">
        <v>45671</v>
      </c>
      <c r="J978" t="s">
        <v>2441</v>
      </c>
      <c r="K978">
        <v>25</v>
      </c>
      <c r="L978" t="str">
        <f>IF(Table1[[#This Row],[Sales_Volume]]&gt;Table1[[#This Row],[Stock_Quantity]],"Pending","Fulfilled")</f>
        <v>Fulfilled</v>
      </c>
      <c r="M978">
        <v>5</v>
      </c>
      <c r="N978">
        <v>52</v>
      </c>
      <c r="O978" t="str">
        <f>IF(Table1[[#This Row],[Stock_Quantity]]&lt;=Table1[[#This Row],[Reorder_Level]],"Reoeder required","Sufficient")</f>
        <v>Reoeder required</v>
      </c>
      <c r="P978" t="str">
        <f>IF(Table1[[#This Row],[Stock_Quantity]]=0,"Out of stock","Available")</f>
        <v>Available</v>
      </c>
    </row>
    <row r="979" spans="1:16" x14ac:dyDescent="0.3">
      <c r="A979" t="s">
        <v>2442</v>
      </c>
      <c r="B979" t="s">
        <v>669</v>
      </c>
      <c r="C979" t="s">
        <v>31</v>
      </c>
      <c r="D979" t="s">
        <v>1071</v>
      </c>
      <c r="E979">
        <v>14</v>
      </c>
      <c r="F979">
        <v>75</v>
      </c>
      <c r="G979">
        <v>19</v>
      </c>
      <c r="H979" s="1">
        <v>1.9</v>
      </c>
      <c r="I979" s="2">
        <v>45423</v>
      </c>
      <c r="J979" t="s">
        <v>2443</v>
      </c>
      <c r="K979">
        <v>100</v>
      </c>
      <c r="L979" t="str">
        <f>IF(Table1[[#This Row],[Sales_Volume]]&gt;Table1[[#This Row],[Stock_Quantity]],"Pending","Fulfilled")</f>
        <v>Pending</v>
      </c>
      <c r="M979">
        <v>4</v>
      </c>
      <c r="N979">
        <v>84</v>
      </c>
      <c r="O979" t="str">
        <f>IF(Table1[[#This Row],[Stock_Quantity]]&lt;=Table1[[#This Row],[Reorder_Level]],"Reoeder required","Sufficient")</f>
        <v>Reoeder required</v>
      </c>
      <c r="P979" t="str">
        <f>IF(Table1[[#This Row],[Stock_Quantity]]=0,"Out of stock","Available")</f>
        <v>Available</v>
      </c>
    </row>
    <row r="980" spans="1:16" x14ac:dyDescent="0.3">
      <c r="A980" t="s">
        <v>2444</v>
      </c>
      <c r="B980" t="s">
        <v>462</v>
      </c>
      <c r="C980" t="s">
        <v>40</v>
      </c>
      <c r="D980" t="s">
        <v>639</v>
      </c>
      <c r="E980">
        <v>24</v>
      </c>
      <c r="F980">
        <v>89</v>
      </c>
      <c r="G980">
        <v>27</v>
      </c>
      <c r="H980" s="1">
        <v>10</v>
      </c>
      <c r="I980" s="2">
        <v>45580</v>
      </c>
      <c r="J980" t="s">
        <v>2445</v>
      </c>
      <c r="K980">
        <v>99</v>
      </c>
      <c r="L980" t="str">
        <f>IF(Table1[[#This Row],[Sales_Volume]]&gt;Table1[[#This Row],[Stock_Quantity]],"Pending","Fulfilled")</f>
        <v>Pending</v>
      </c>
      <c r="M980">
        <v>7</v>
      </c>
      <c r="N980">
        <v>1</v>
      </c>
      <c r="O980" t="str">
        <f>IF(Table1[[#This Row],[Stock_Quantity]]&lt;=Table1[[#This Row],[Reorder_Level]],"Reoeder required","Sufficient")</f>
        <v>Reoeder required</v>
      </c>
      <c r="P980" t="str">
        <f>IF(Table1[[#This Row],[Stock_Quantity]]=0,"Out of stock","Available")</f>
        <v>Available</v>
      </c>
    </row>
    <row r="981" spans="1:16" x14ac:dyDescent="0.3">
      <c r="A981" t="s">
        <v>2446</v>
      </c>
      <c r="B981" t="s">
        <v>390</v>
      </c>
      <c r="C981" t="s">
        <v>99</v>
      </c>
      <c r="D981" t="s">
        <v>790</v>
      </c>
      <c r="E981">
        <v>100</v>
      </c>
      <c r="F981">
        <v>61</v>
      </c>
      <c r="G981">
        <v>21</v>
      </c>
      <c r="H981" s="1">
        <v>7</v>
      </c>
      <c r="I981" s="2">
        <v>45651</v>
      </c>
      <c r="J981" t="s">
        <v>2447</v>
      </c>
      <c r="K981">
        <v>85</v>
      </c>
      <c r="L981" t="str">
        <f>IF(Table1[[#This Row],[Sales_Volume]]&gt;Table1[[#This Row],[Stock_Quantity]],"Pending","Fulfilled")</f>
        <v>Fulfilled</v>
      </c>
      <c r="M981">
        <v>6</v>
      </c>
      <c r="N981">
        <v>79</v>
      </c>
      <c r="O981" t="str">
        <f>IF(Table1[[#This Row],[Stock_Quantity]]&lt;=Table1[[#This Row],[Reorder_Level]],"Reoeder required","Sufficient")</f>
        <v>Sufficient</v>
      </c>
      <c r="P981" t="str">
        <f>IF(Table1[[#This Row],[Stock_Quantity]]=0,"Out of stock","Available")</f>
        <v>Available</v>
      </c>
    </row>
    <row r="982" spans="1:16" x14ac:dyDescent="0.3">
      <c r="A982" t="s">
        <v>2448</v>
      </c>
      <c r="B982" t="s">
        <v>359</v>
      </c>
      <c r="C982" t="s">
        <v>13</v>
      </c>
      <c r="D982" t="s">
        <v>1010</v>
      </c>
      <c r="E982">
        <v>62</v>
      </c>
      <c r="F982">
        <v>36</v>
      </c>
      <c r="G982">
        <v>96</v>
      </c>
      <c r="H982" s="1">
        <v>4.75</v>
      </c>
      <c r="I982" s="2">
        <v>45392</v>
      </c>
      <c r="J982" t="s">
        <v>2449</v>
      </c>
      <c r="K982">
        <v>31</v>
      </c>
      <c r="L982" t="str">
        <f>IF(Table1[[#This Row],[Sales_Volume]]&gt;Table1[[#This Row],[Stock_Quantity]],"Pending","Fulfilled")</f>
        <v>Fulfilled</v>
      </c>
      <c r="M982">
        <v>5</v>
      </c>
      <c r="N982">
        <v>25</v>
      </c>
      <c r="O982" t="str">
        <f>IF(Table1[[#This Row],[Stock_Quantity]]&lt;=Table1[[#This Row],[Reorder_Level]],"Reoeder required","Sufficient")</f>
        <v>Sufficient</v>
      </c>
      <c r="P982" t="str">
        <f>IF(Table1[[#This Row],[Stock_Quantity]]=0,"Out of stock","Available")</f>
        <v>Available</v>
      </c>
    </row>
    <row r="983" spans="1:16" x14ac:dyDescent="0.3">
      <c r="A983" t="s">
        <v>2450</v>
      </c>
      <c r="B983" t="s">
        <v>631</v>
      </c>
      <c r="C983" t="s">
        <v>13</v>
      </c>
      <c r="D983" t="s">
        <v>214</v>
      </c>
      <c r="E983">
        <v>71</v>
      </c>
      <c r="F983">
        <v>60</v>
      </c>
      <c r="G983">
        <v>62</v>
      </c>
      <c r="H983" s="1">
        <v>4.5</v>
      </c>
      <c r="I983" s="2">
        <v>45376</v>
      </c>
      <c r="J983" t="s">
        <v>2451</v>
      </c>
      <c r="K983">
        <v>60</v>
      </c>
      <c r="L983" t="str">
        <f>IF(Table1[[#This Row],[Sales_Volume]]&gt;Table1[[#This Row],[Stock_Quantity]],"Pending","Fulfilled")</f>
        <v>Fulfilled</v>
      </c>
      <c r="M983">
        <v>8</v>
      </c>
      <c r="N983">
        <v>63</v>
      </c>
      <c r="O983" t="str">
        <f>IF(Table1[[#This Row],[Stock_Quantity]]&lt;=Table1[[#This Row],[Reorder_Level]],"Reoeder required","Sufficient")</f>
        <v>Sufficient</v>
      </c>
      <c r="P983" t="str">
        <f>IF(Table1[[#This Row],[Stock_Quantity]]=0,"Out of stock","Available")</f>
        <v>Available</v>
      </c>
    </row>
    <row r="984" spans="1:16" x14ac:dyDescent="0.3">
      <c r="A984" t="s">
        <v>2452</v>
      </c>
      <c r="B984" t="s">
        <v>111</v>
      </c>
      <c r="C984" t="s">
        <v>45</v>
      </c>
      <c r="D984" t="s">
        <v>744</v>
      </c>
      <c r="E984">
        <v>38</v>
      </c>
      <c r="F984">
        <v>67</v>
      </c>
      <c r="G984">
        <v>66</v>
      </c>
      <c r="H984" s="1">
        <v>12</v>
      </c>
      <c r="I984" s="2">
        <v>45647</v>
      </c>
      <c r="J984" t="s">
        <v>2453</v>
      </c>
      <c r="K984">
        <v>35</v>
      </c>
      <c r="L984" t="str">
        <f>IF(Table1[[#This Row],[Sales_Volume]]&gt;Table1[[#This Row],[Stock_Quantity]],"Pending","Fulfilled")</f>
        <v>Fulfilled</v>
      </c>
      <c r="M984">
        <v>8</v>
      </c>
      <c r="N984">
        <v>24</v>
      </c>
      <c r="O984" t="str">
        <f>IF(Table1[[#This Row],[Stock_Quantity]]&lt;=Table1[[#This Row],[Reorder_Level]],"Reoeder required","Sufficient")</f>
        <v>Reoeder required</v>
      </c>
      <c r="P984" t="str">
        <f>IF(Table1[[#This Row],[Stock_Quantity]]=0,"Out of stock","Available")</f>
        <v>Available</v>
      </c>
    </row>
    <row r="985" spans="1:16" x14ac:dyDescent="0.3">
      <c r="A985" t="s">
        <v>2454</v>
      </c>
      <c r="B985" t="s">
        <v>525</v>
      </c>
      <c r="C985" t="s">
        <v>13</v>
      </c>
      <c r="D985" t="s">
        <v>498</v>
      </c>
      <c r="E985">
        <v>88</v>
      </c>
      <c r="F985">
        <v>34</v>
      </c>
      <c r="G985">
        <v>94</v>
      </c>
      <c r="H985" s="1">
        <v>2.4</v>
      </c>
      <c r="I985" s="2">
        <v>45708</v>
      </c>
      <c r="J985" t="s">
        <v>2455</v>
      </c>
      <c r="K985">
        <v>95</v>
      </c>
      <c r="L985" t="str">
        <f>IF(Table1[[#This Row],[Sales_Volume]]&gt;Table1[[#This Row],[Stock_Quantity]],"Pending","Fulfilled")</f>
        <v>Pending</v>
      </c>
      <c r="M985">
        <v>4</v>
      </c>
      <c r="N985">
        <v>63</v>
      </c>
      <c r="O985" t="str">
        <f>IF(Table1[[#This Row],[Stock_Quantity]]&lt;=Table1[[#This Row],[Reorder_Level]],"Reoeder required","Sufficient")</f>
        <v>Sufficient</v>
      </c>
      <c r="P985" t="str">
        <f>IF(Table1[[#This Row],[Stock_Quantity]]=0,"Out of stock","Available")</f>
        <v>Available</v>
      </c>
    </row>
    <row r="986" spans="1:16" x14ac:dyDescent="0.3">
      <c r="A986" t="s">
        <v>2456</v>
      </c>
      <c r="B986" t="s">
        <v>204</v>
      </c>
      <c r="C986" t="s">
        <v>65</v>
      </c>
      <c r="D986" t="s">
        <v>984</v>
      </c>
      <c r="E986">
        <v>40</v>
      </c>
      <c r="F986">
        <v>30</v>
      </c>
      <c r="G986">
        <v>65</v>
      </c>
      <c r="H986" s="1">
        <v>4.5</v>
      </c>
      <c r="I986" s="2">
        <v>45370</v>
      </c>
      <c r="J986" t="s">
        <v>2457</v>
      </c>
      <c r="K986">
        <v>54</v>
      </c>
      <c r="L986" t="str">
        <f>IF(Table1[[#This Row],[Sales_Volume]]&gt;Table1[[#This Row],[Stock_Quantity]],"Pending","Fulfilled")</f>
        <v>Pending</v>
      </c>
      <c r="M986">
        <v>1</v>
      </c>
      <c r="N986">
        <v>29</v>
      </c>
      <c r="O986" t="str">
        <f>IF(Table1[[#This Row],[Stock_Quantity]]&lt;=Table1[[#This Row],[Reorder_Level]],"Reoeder required","Sufficient")</f>
        <v>Sufficient</v>
      </c>
      <c r="P986" t="str">
        <f>IF(Table1[[#This Row],[Stock_Quantity]]=0,"Out of stock","Available")</f>
        <v>Available</v>
      </c>
    </row>
    <row r="987" spans="1:16" x14ac:dyDescent="0.3">
      <c r="A987" t="s">
        <v>2458</v>
      </c>
      <c r="B987" t="s">
        <v>94</v>
      </c>
      <c r="C987" t="s">
        <v>31</v>
      </c>
      <c r="D987" t="s">
        <v>347</v>
      </c>
      <c r="E987">
        <v>88</v>
      </c>
      <c r="F987">
        <v>78</v>
      </c>
      <c r="G987">
        <v>17</v>
      </c>
      <c r="H987" s="1">
        <v>2.5</v>
      </c>
      <c r="I987" s="2">
        <v>45654</v>
      </c>
      <c r="J987" t="s">
        <v>2459</v>
      </c>
      <c r="K987">
        <v>58</v>
      </c>
      <c r="L987" t="str">
        <f>IF(Table1[[#This Row],[Sales_Volume]]&gt;Table1[[#This Row],[Stock_Quantity]],"Pending","Fulfilled")</f>
        <v>Fulfilled</v>
      </c>
      <c r="M987">
        <v>1</v>
      </c>
      <c r="N987">
        <v>21</v>
      </c>
      <c r="O987" t="str">
        <f>IF(Table1[[#This Row],[Stock_Quantity]]&lt;=Table1[[#This Row],[Reorder_Level]],"Reoeder required","Sufficient")</f>
        <v>Sufficient</v>
      </c>
      <c r="P987" t="str">
        <f>IF(Table1[[#This Row],[Stock_Quantity]]=0,"Out of stock","Available")</f>
        <v>Available</v>
      </c>
    </row>
    <row r="988" spans="1:16" x14ac:dyDescent="0.3">
      <c r="A988" t="s">
        <v>2460</v>
      </c>
      <c r="B988" t="s">
        <v>549</v>
      </c>
      <c r="C988" t="s">
        <v>45</v>
      </c>
      <c r="D988" t="s">
        <v>2461</v>
      </c>
      <c r="E988">
        <v>60</v>
      </c>
      <c r="F988">
        <v>9</v>
      </c>
      <c r="G988">
        <v>89</v>
      </c>
      <c r="H988" s="1">
        <v>9</v>
      </c>
      <c r="I988" s="2">
        <v>45445</v>
      </c>
      <c r="J988" t="s">
        <v>2462</v>
      </c>
      <c r="K988">
        <v>95</v>
      </c>
      <c r="L988" t="str">
        <f>IF(Table1[[#This Row],[Sales_Volume]]&gt;Table1[[#This Row],[Stock_Quantity]],"Pending","Fulfilled")</f>
        <v>Pending</v>
      </c>
      <c r="M988">
        <v>8</v>
      </c>
      <c r="N988">
        <v>63</v>
      </c>
      <c r="O988" t="str">
        <f>IF(Table1[[#This Row],[Stock_Quantity]]&lt;=Table1[[#This Row],[Reorder_Level]],"Reoeder required","Sufficient")</f>
        <v>Sufficient</v>
      </c>
      <c r="P988" t="str">
        <f>IF(Table1[[#This Row],[Stock_Quantity]]=0,"Out of stock","Available")</f>
        <v>Available</v>
      </c>
    </row>
    <row r="989" spans="1:16" x14ac:dyDescent="0.3">
      <c r="A989" t="s">
        <v>2463</v>
      </c>
      <c r="B989" t="s">
        <v>107</v>
      </c>
      <c r="C989" t="s">
        <v>31</v>
      </c>
      <c r="D989" t="s">
        <v>1599</v>
      </c>
      <c r="E989">
        <v>94</v>
      </c>
      <c r="F989">
        <v>90</v>
      </c>
      <c r="G989">
        <v>12</v>
      </c>
      <c r="H989" s="1">
        <v>0.9</v>
      </c>
      <c r="I989" s="2">
        <v>45589</v>
      </c>
      <c r="J989" t="s">
        <v>2464</v>
      </c>
      <c r="K989">
        <v>98</v>
      </c>
      <c r="L989" t="str">
        <f>IF(Table1[[#This Row],[Sales_Volume]]&gt;Table1[[#This Row],[Stock_Quantity]],"Pending","Fulfilled")</f>
        <v>Pending</v>
      </c>
      <c r="M989">
        <v>5</v>
      </c>
      <c r="N989">
        <v>71</v>
      </c>
      <c r="O989" t="str">
        <f>IF(Table1[[#This Row],[Stock_Quantity]]&lt;=Table1[[#This Row],[Reorder_Level]],"Reoeder required","Sufficient")</f>
        <v>Sufficient</v>
      </c>
      <c r="P989" t="str">
        <f>IF(Table1[[#This Row],[Stock_Quantity]]=0,"Out of stock","Available")</f>
        <v>Available</v>
      </c>
    </row>
    <row r="990" spans="1:16" x14ac:dyDescent="0.3">
      <c r="A990" t="s">
        <v>2465</v>
      </c>
      <c r="B990" t="s">
        <v>462</v>
      </c>
      <c r="C990" t="s">
        <v>40</v>
      </c>
      <c r="D990" t="s">
        <v>265</v>
      </c>
      <c r="E990">
        <v>30</v>
      </c>
      <c r="F990">
        <v>48</v>
      </c>
      <c r="G990">
        <v>52</v>
      </c>
      <c r="H990" s="1">
        <v>10</v>
      </c>
      <c r="I990" s="2">
        <v>45633</v>
      </c>
      <c r="J990" t="s">
        <v>2466</v>
      </c>
      <c r="K990">
        <v>22</v>
      </c>
      <c r="L990" t="str">
        <f>IF(Table1[[#This Row],[Sales_Volume]]&gt;Table1[[#This Row],[Stock_Quantity]],"Pending","Fulfilled")</f>
        <v>Fulfilled</v>
      </c>
      <c r="M990">
        <v>5</v>
      </c>
      <c r="N990">
        <v>78</v>
      </c>
      <c r="O990" t="str">
        <f>IF(Table1[[#This Row],[Stock_Quantity]]&lt;=Table1[[#This Row],[Reorder_Level]],"Reoeder required","Sufficient")</f>
        <v>Reoeder required</v>
      </c>
      <c r="P990" t="str">
        <f>IF(Table1[[#This Row],[Stock_Quantity]]=0,"Out of stock","Available")</f>
        <v>Available</v>
      </c>
    </row>
    <row r="991" spans="1:16" x14ac:dyDescent="0.3">
      <c r="A991" t="s">
        <v>2467</v>
      </c>
      <c r="B991" t="s">
        <v>905</v>
      </c>
      <c r="C991" t="s">
        <v>31</v>
      </c>
      <c r="D991" t="s">
        <v>1687</v>
      </c>
      <c r="E991">
        <v>19</v>
      </c>
      <c r="F991">
        <v>28</v>
      </c>
      <c r="G991">
        <v>83</v>
      </c>
      <c r="H991" s="1">
        <v>4.5</v>
      </c>
      <c r="I991" s="2">
        <v>45352</v>
      </c>
      <c r="J991" t="s">
        <v>2468</v>
      </c>
      <c r="K991">
        <v>91</v>
      </c>
      <c r="L991" t="str">
        <f>IF(Table1[[#This Row],[Sales_Volume]]&gt;Table1[[#This Row],[Stock_Quantity]],"Pending","Fulfilled")</f>
        <v>Pending</v>
      </c>
      <c r="M991">
        <v>6</v>
      </c>
      <c r="N991">
        <v>73</v>
      </c>
      <c r="O991" t="str">
        <f>IF(Table1[[#This Row],[Stock_Quantity]]&lt;=Table1[[#This Row],[Reorder_Level]],"Reoeder required","Sufficient")</f>
        <v>Reoeder required</v>
      </c>
      <c r="P991" t="str">
        <f>IF(Table1[[#This Row],[Stock_Quantity]]=0,"Out of stock","Available")</f>
        <v>Available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26A63-3FD9-4528-A55F-0FF2A8C157B0}">
  <dimension ref="A1:B7"/>
  <sheetViews>
    <sheetView workbookViewId="0">
      <selection activeCell="B8" sqref="B8"/>
    </sheetView>
  </sheetViews>
  <sheetFormatPr defaultRowHeight="14.4" x14ac:dyDescent="0.3"/>
  <cols>
    <col min="1" max="1" width="19.21875" bestFit="1" customWidth="1"/>
  </cols>
  <sheetData>
    <row r="1" spans="1:2" ht="18" x14ac:dyDescent="0.35">
      <c r="A1" s="3" t="s">
        <v>2472</v>
      </c>
    </row>
    <row r="2" spans="1:2" x14ac:dyDescent="0.3">
      <c r="A2" t="s">
        <v>2473</v>
      </c>
      <c r="B2">
        <f>AVERAGE(Table1[Inventory_Turnover_Rate])</f>
        <v>50.150505050505053</v>
      </c>
    </row>
    <row r="3" spans="1:2" x14ac:dyDescent="0.3">
      <c r="A3" t="s">
        <v>2474</v>
      </c>
      <c r="B3">
        <f>COUNTIF(Table1[Fulfilled/Pending],'Inventory Sales data'!L680)</f>
        <v>461</v>
      </c>
    </row>
    <row r="4" spans="1:2" x14ac:dyDescent="0.3">
      <c r="A4" t="s">
        <v>2475</v>
      </c>
      <c r="B4">
        <f>COUNTIF(Table1[Fulfilled/Pending],'Inventory Sales data'!L967)</f>
        <v>529</v>
      </c>
    </row>
    <row r="5" spans="1:2" x14ac:dyDescent="0.3">
      <c r="A5" t="s">
        <v>2480</v>
      </c>
      <c r="B5">
        <f>SUM(B3,B4)</f>
        <v>990</v>
      </c>
    </row>
    <row r="6" spans="1:2" x14ac:dyDescent="0.3">
      <c r="A6" t="s">
        <v>2476</v>
      </c>
      <c r="B6">
        <f>AVERAGE(Table1[Delivery Days])</f>
        <v>4.5737373737373739</v>
      </c>
    </row>
    <row r="7" spans="1:2" x14ac:dyDescent="0.3">
      <c r="A7" t="s">
        <v>2477</v>
      </c>
      <c r="B7">
        <f>B3/B5</f>
        <v>0.46565656565656566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30436-0F34-4FA4-9430-D3582560FE3B}">
  <dimension ref="A3:C126"/>
  <sheetViews>
    <sheetView topLeftCell="A15" workbookViewId="0">
      <selection activeCell="A15" sqref="A14:A15"/>
    </sheetView>
  </sheetViews>
  <sheetFormatPr defaultRowHeight="14.4" x14ac:dyDescent="0.3"/>
  <cols>
    <col min="1" max="1" width="17.6640625" bestFit="1" customWidth="1"/>
    <col min="2" max="2" width="19.44140625" bestFit="1" customWidth="1"/>
    <col min="3" max="3" width="13.21875" bestFit="1" customWidth="1"/>
  </cols>
  <sheetData>
    <row r="3" spans="1:2" x14ac:dyDescent="0.3">
      <c r="A3" s="4" t="s">
        <v>2481</v>
      </c>
      <c r="B3" t="s">
        <v>2484</v>
      </c>
    </row>
    <row r="4" spans="1:2" x14ac:dyDescent="0.3">
      <c r="A4" s="5" t="s">
        <v>35</v>
      </c>
      <c r="B4">
        <v>198</v>
      </c>
    </row>
    <row r="5" spans="1:2" x14ac:dyDescent="0.3">
      <c r="A5" s="5" t="s">
        <v>385</v>
      </c>
      <c r="B5">
        <v>405</v>
      </c>
    </row>
    <row r="6" spans="1:2" x14ac:dyDescent="0.3">
      <c r="A6" s="5" t="s">
        <v>610</v>
      </c>
      <c r="B6">
        <v>668</v>
      </c>
    </row>
    <row r="7" spans="1:2" x14ac:dyDescent="0.3">
      <c r="A7" s="5" t="s">
        <v>926</v>
      </c>
      <c r="B7">
        <v>374</v>
      </c>
    </row>
    <row r="8" spans="1:2" x14ac:dyDescent="0.3">
      <c r="A8" s="5" t="s">
        <v>889</v>
      </c>
      <c r="B8">
        <v>388</v>
      </c>
    </row>
    <row r="9" spans="1:2" x14ac:dyDescent="0.3">
      <c r="A9" s="5" t="s">
        <v>17</v>
      </c>
      <c r="B9">
        <v>874</v>
      </c>
    </row>
    <row r="10" spans="1:2" x14ac:dyDescent="0.3">
      <c r="A10" s="5" t="s">
        <v>296</v>
      </c>
      <c r="B10">
        <v>308</v>
      </c>
    </row>
    <row r="11" spans="1:2" x14ac:dyDescent="0.3">
      <c r="A11" s="5" t="s">
        <v>573</v>
      </c>
      <c r="B11">
        <v>453</v>
      </c>
    </row>
    <row r="12" spans="1:2" x14ac:dyDescent="0.3">
      <c r="A12" s="5" t="s">
        <v>462</v>
      </c>
      <c r="B12">
        <v>353</v>
      </c>
    </row>
    <row r="13" spans="1:2" x14ac:dyDescent="0.3">
      <c r="A13" s="5" t="s">
        <v>412</v>
      </c>
      <c r="B13">
        <v>257</v>
      </c>
    </row>
    <row r="14" spans="1:2" x14ac:dyDescent="0.3">
      <c r="A14" s="5" t="s">
        <v>631</v>
      </c>
      <c r="B14">
        <v>317</v>
      </c>
    </row>
    <row r="15" spans="1:2" x14ac:dyDescent="0.3">
      <c r="A15" s="5" t="s">
        <v>283</v>
      </c>
      <c r="B15">
        <v>708</v>
      </c>
    </row>
    <row r="16" spans="1:2" x14ac:dyDescent="0.3">
      <c r="A16" s="5" t="s">
        <v>180</v>
      </c>
      <c r="B16">
        <v>662</v>
      </c>
    </row>
    <row r="17" spans="1:3" x14ac:dyDescent="0.3">
      <c r="A17" s="5" t="s">
        <v>22</v>
      </c>
      <c r="B17">
        <v>737</v>
      </c>
    </row>
    <row r="18" spans="1:3" x14ac:dyDescent="0.3">
      <c r="A18" s="5" t="s">
        <v>243</v>
      </c>
      <c r="B18">
        <v>427</v>
      </c>
    </row>
    <row r="19" spans="1:3" x14ac:dyDescent="0.3">
      <c r="A19" s="5" t="s">
        <v>338</v>
      </c>
      <c r="B19">
        <v>414</v>
      </c>
    </row>
    <row r="20" spans="1:3" x14ac:dyDescent="0.3">
      <c r="A20" s="6" t="s">
        <v>80</v>
      </c>
      <c r="B20" s="7">
        <v>1002</v>
      </c>
      <c r="C20" s="9" t="s">
        <v>2485</v>
      </c>
    </row>
    <row r="21" spans="1:3" x14ac:dyDescent="0.3">
      <c r="A21" s="5" t="s">
        <v>268</v>
      </c>
      <c r="B21">
        <v>726</v>
      </c>
    </row>
    <row r="22" spans="1:3" x14ac:dyDescent="0.3">
      <c r="A22" s="5" t="s">
        <v>861</v>
      </c>
      <c r="B22">
        <v>466</v>
      </c>
    </row>
    <row r="23" spans="1:3" x14ac:dyDescent="0.3">
      <c r="A23" s="5" t="s">
        <v>183</v>
      </c>
      <c r="B23">
        <v>270</v>
      </c>
    </row>
    <row r="24" spans="1:3" x14ac:dyDescent="0.3">
      <c r="A24" s="5" t="s">
        <v>305</v>
      </c>
      <c r="B24">
        <v>308</v>
      </c>
    </row>
    <row r="25" spans="1:3" x14ac:dyDescent="0.3">
      <c r="A25" s="5" t="s">
        <v>482</v>
      </c>
      <c r="B25">
        <v>309</v>
      </c>
    </row>
    <row r="26" spans="1:3" x14ac:dyDescent="0.3">
      <c r="A26" s="5" t="s">
        <v>107</v>
      </c>
      <c r="B26">
        <v>408</v>
      </c>
    </row>
    <row r="27" spans="1:3" x14ac:dyDescent="0.3">
      <c r="A27" s="5" t="s">
        <v>459</v>
      </c>
      <c r="B27">
        <v>592</v>
      </c>
    </row>
    <row r="28" spans="1:3" x14ac:dyDescent="0.3">
      <c r="A28" s="5" t="s">
        <v>239</v>
      </c>
      <c r="B28">
        <v>383</v>
      </c>
    </row>
    <row r="29" spans="1:3" x14ac:dyDescent="0.3">
      <c r="A29" s="5" t="s">
        <v>455</v>
      </c>
      <c r="B29">
        <v>911</v>
      </c>
    </row>
    <row r="30" spans="1:3" x14ac:dyDescent="0.3">
      <c r="A30" s="5" t="s">
        <v>549</v>
      </c>
      <c r="B30">
        <v>675</v>
      </c>
    </row>
    <row r="31" spans="1:3" x14ac:dyDescent="0.3">
      <c r="A31" s="5" t="s">
        <v>346</v>
      </c>
      <c r="B31">
        <v>408</v>
      </c>
    </row>
    <row r="32" spans="1:3" x14ac:dyDescent="0.3">
      <c r="A32" s="5" t="s">
        <v>1640</v>
      </c>
      <c r="B32">
        <v>187</v>
      </c>
    </row>
    <row r="33" spans="1:2" x14ac:dyDescent="0.3">
      <c r="A33" s="5" t="s">
        <v>342</v>
      </c>
      <c r="B33">
        <v>598</v>
      </c>
    </row>
    <row r="34" spans="1:2" x14ac:dyDescent="0.3">
      <c r="A34" s="5" t="s">
        <v>405</v>
      </c>
      <c r="B34">
        <v>337</v>
      </c>
    </row>
    <row r="35" spans="1:2" x14ac:dyDescent="0.3">
      <c r="A35" s="5" t="s">
        <v>1142</v>
      </c>
      <c r="B35">
        <v>235</v>
      </c>
    </row>
    <row r="36" spans="1:2" x14ac:dyDescent="0.3">
      <c r="A36" s="5" t="s">
        <v>948</v>
      </c>
      <c r="B36">
        <v>309</v>
      </c>
    </row>
    <row r="37" spans="1:2" x14ac:dyDescent="0.3">
      <c r="A37" s="5" t="s">
        <v>408</v>
      </c>
      <c r="B37">
        <v>491</v>
      </c>
    </row>
    <row r="38" spans="1:2" x14ac:dyDescent="0.3">
      <c r="A38" s="5" t="s">
        <v>39</v>
      </c>
      <c r="B38">
        <v>467</v>
      </c>
    </row>
    <row r="39" spans="1:2" x14ac:dyDescent="0.3">
      <c r="A39" s="5" t="s">
        <v>378</v>
      </c>
      <c r="B39">
        <v>287</v>
      </c>
    </row>
    <row r="40" spans="1:2" x14ac:dyDescent="0.3">
      <c r="A40" s="5" t="s">
        <v>313</v>
      </c>
      <c r="B40">
        <v>390</v>
      </c>
    </row>
    <row r="41" spans="1:2" x14ac:dyDescent="0.3">
      <c r="A41" s="5" t="s">
        <v>134</v>
      </c>
      <c r="B41">
        <v>623</v>
      </c>
    </row>
    <row r="42" spans="1:2" x14ac:dyDescent="0.3">
      <c r="A42" s="5" t="s">
        <v>743</v>
      </c>
      <c r="B42">
        <v>696</v>
      </c>
    </row>
    <row r="43" spans="1:2" x14ac:dyDescent="0.3">
      <c r="A43" s="5" t="s">
        <v>1662</v>
      </c>
      <c r="B43">
        <v>512</v>
      </c>
    </row>
    <row r="44" spans="1:2" x14ac:dyDescent="0.3">
      <c r="A44" s="5" t="s">
        <v>53</v>
      </c>
      <c r="B44">
        <v>580</v>
      </c>
    </row>
    <row r="45" spans="1:2" x14ac:dyDescent="0.3">
      <c r="A45" s="5" t="s">
        <v>44</v>
      </c>
      <c r="B45">
        <v>770</v>
      </c>
    </row>
    <row r="46" spans="1:2" x14ac:dyDescent="0.3">
      <c r="A46" s="5" t="s">
        <v>119</v>
      </c>
      <c r="B46">
        <v>422</v>
      </c>
    </row>
    <row r="47" spans="1:2" x14ac:dyDescent="0.3">
      <c r="A47" s="5" t="s">
        <v>556</v>
      </c>
      <c r="B47">
        <v>626</v>
      </c>
    </row>
    <row r="48" spans="1:2" x14ac:dyDescent="0.3">
      <c r="A48" s="5" t="s">
        <v>272</v>
      </c>
      <c r="B48">
        <v>454</v>
      </c>
    </row>
    <row r="49" spans="1:2" x14ac:dyDescent="0.3">
      <c r="A49" s="5" t="s">
        <v>895</v>
      </c>
      <c r="B49">
        <v>485</v>
      </c>
    </row>
    <row r="50" spans="1:2" x14ac:dyDescent="0.3">
      <c r="A50" s="5" t="s">
        <v>76</v>
      </c>
      <c r="B50">
        <v>324</v>
      </c>
    </row>
    <row r="51" spans="1:2" x14ac:dyDescent="0.3">
      <c r="A51" s="5" t="s">
        <v>356</v>
      </c>
      <c r="B51">
        <v>284</v>
      </c>
    </row>
    <row r="52" spans="1:2" x14ac:dyDescent="0.3">
      <c r="A52" s="5" t="s">
        <v>469</v>
      </c>
      <c r="B52">
        <v>411</v>
      </c>
    </row>
    <row r="53" spans="1:2" x14ac:dyDescent="0.3">
      <c r="A53" s="5" t="s">
        <v>846</v>
      </c>
      <c r="B53">
        <v>757</v>
      </c>
    </row>
    <row r="54" spans="1:2" x14ac:dyDescent="0.3">
      <c r="A54" s="5" t="s">
        <v>49</v>
      </c>
      <c r="B54">
        <v>388</v>
      </c>
    </row>
    <row r="55" spans="1:2" x14ac:dyDescent="0.3">
      <c r="A55" s="5" t="s">
        <v>103</v>
      </c>
      <c r="B55">
        <v>416</v>
      </c>
    </row>
    <row r="56" spans="1:2" x14ac:dyDescent="0.3">
      <c r="A56" s="5" t="s">
        <v>220</v>
      </c>
      <c r="B56">
        <v>486</v>
      </c>
    </row>
    <row r="57" spans="1:2" x14ac:dyDescent="0.3">
      <c r="A57" s="5" t="s">
        <v>514</v>
      </c>
      <c r="B57">
        <v>699</v>
      </c>
    </row>
    <row r="58" spans="1:2" x14ac:dyDescent="0.3">
      <c r="A58" s="5" t="s">
        <v>150</v>
      </c>
      <c r="B58">
        <v>892</v>
      </c>
    </row>
    <row r="59" spans="1:2" x14ac:dyDescent="0.3">
      <c r="A59" s="5" t="s">
        <v>876</v>
      </c>
      <c r="B59">
        <v>535</v>
      </c>
    </row>
    <row r="60" spans="1:2" x14ac:dyDescent="0.3">
      <c r="A60" s="5" t="s">
        <v>279</v>
      </c>
      <c r="B60">
        <v>485</v>
      </c>
    </row>
    <row r="61" spans="1:2" x14ac:dyDescent="0.3">
      <c r="A61" s="5" t="s">
        <v>146</v>
      </c>
      <c r="B61">
        <v>334</v>
      </c>
    </row>
    <row r="62" spans="1:2" x14ac:dyDescent="0.3">
      <c r="A62" s="5" t="s">
        <v>359</v>
      </c>
      <c r="B62">
        <v>794</v>
      </c>
    </row>
    <row r="63" spans="1:2" x14ac:dyDescent="0.3">
      <c r="A63" s="5" t="s">
        <v>757</v>
      </c>
      <c r="B63">
        <v>251</v>
      </c>
    </row>
    <row r="64" spans="1:2" x14ac:dyDescent="0.3">
      <c r="A64" s="5" t="s">
        <v>197</v>
      </c>
      <c r="B64">
        <v>304</v>
      </c>
    </row>
    <row r="65" spans="1:3" x14ac:dyDescent="0.3">
      <c r="A65" s="5" t="s">
        <v>176</v>
      </c>
      <c r="B65">
        <v>469</v>
      </c>
    </row>
    <row r="66" spans="1:3" x14ac:dyDescent="0.3">
      <c r="A66" s="6" t="s">
        <v>393</v>
      </c>
      <c r="B66" s="7">
        <v>166</v>
      </c>
      <c r="C66" s="8" t="s">
        <v>2486</v>
      </c>
    </row>
    <row r="67" spans="1:3" x14ac:dyDescent="0.3">
      <c r="A67" s="5" t="s">
        <v>669</v>
      </c>
      <c r="B67">
        <v>450</v>
      </c>
    </row>
    <row r="68" spans="1:3" x14ac:dyDescent="0.3">
      <c r="A68" s="5" t="s">
        <v>26</v>
      </c>
      <c r="B68">
        <v>535</v>
      </c>
    </row>
    <row r="69" spans="1:3" x14ac:dyDescent="0.3">
      <c r="A69" s="5" t="s">
        <v>786</v>
      </c>
      <c r="B69">
        <v>402</v>
      </c>
    </row>
    <row r="70" spans="1:3" x14ac:dyDescent="0.3">
      <c r="A70" s="5" t="s">
        <v>172</v>
      </c>
      <c r="B70">
        <v>551</v>
      </c>
    </row>
    <row r="71" spans="1:3" x14ac:dyDescent="0.3">
      <c r="A71" s="5" t="s">
        <v>827</v>
      </c>
      <c r="B71">
        <v>258</v>
      </c>
    </row>
    <row r="72" spans="1:3" x14ac:dyDescent="0.3">
      <c r="A72" s="5" t="s">
        <v>264</v>
      </c>
      <c r="B72">
        <v>406</v>
      </c>
    </row>
    <row r="73" spans="1:3" x14ac:dyDescent="0.3">
      <c r="A73" s="5" t="s">
        <v>187</v>
      </c>
      <c r="B73">
        <v>401</v>
      </c>
    </row>
    <row r="74" spans="1:3" x14ac:dyDescent="0.3">
      <c r="A74" s="5" t="s">
        <v>123</v>
      </c>
      <c r="B74">
        <v>578</v>
      </c>
    </row>
    <row r="75" spans="1:3" x14ac:dyDescent="0.3">
      <c r="A75" s="5" t="s">
        <v>127</v>
      </c>
      <c r="B75">
        <v>302</v>
      </c>
    </row>
    <row r="76" spans="1:3" x14ac:dyDescent="0.3">
      <c r="A76" s="5" t="s">
        <v>142</v>
      </c>
      <c r="B76">
        <v>385</v>
      </c>
    </row>
    <row r="77" spans="1:3" x14ac:dyDescent="0.3">
      <c r="A77" s="5" t="s">
        <v>154</v>
      </c>
      <c r="B77">
        <v>597</v>
      </c>
    </row>
    <row r="78" spans="1:3" x14ac:dyDescent="0.3">
      <c r="A78" s="5" t="s">
        <v>211</v>
      </c>
      <c r="B78">
        <v>735</v>
      </c>
    </row>
    <row r="79" spans="1:3" x14ac:dyDescent="0.3">
      <c r="A79" s="5" t="s">
        <v>350</v>
      </c>
      <c r="B79">
        <v>466</v>
      </c>
    </row>
    <row r="80" spans="1:3" x14ac:dyDescent="0.3">
      <c r="A80" s="5" t="s">
        <v>905</v>
      </c>
      <c r="B80">
        <v>378</v>
      </c>
    </row>
    <row r="81" spans="1:2" x14ac:dyDescent="0.3">
      <c r="A81" s="5" t="s">
        <v>111</v>
      </c>
      <c r="B81">
        <v>517</v>
      </c>
    </row>
    <row r="82" spans="1:2" x14ac:dyDescent="0.3">
      <c r="A82" s="5" t="s">
        <v>425</v>
      </c>
      <c r="B82">
        <v>604</v>
      </c>
    </row>
    <row r="83" spans="1:2" x14ac:dyDescent="0.3">
      <c r="A83" s="5" t="s">
        <v>334</v>
      </c>
      <c r="B83">
        <v>559</v>
      </c>
    </row>
    <row r="84" spans="1:2" x14ac:dyDescent="0.3">
      <c r="A84" s="5" t="s">
        <v>130</v>
      </c>
      <c r="B84">
        <v>454</v>
      </c>
    </row>
    <row r="85" spans="1:2" x14ac:dyDescent="0.3">
      <c r="A85" s="5" t="s">
        <v>309</v>
      </c>
      <c r="B85">
        <v>411</v>
      </c>
    </row>
    <row r="86" spans="1:2" x14ac:dyDescent="0.3">
      <c r="A86" s="5" t="s">
        <v>138</v>
      </c>
      <c r="B86">
        <v>606</v>
      </c>
    </row>
    <row r="87" spans="1:2" x14ac:dyDescent="0.3">
      <c r="A87" s="5" t="s">
        <v>30</v>
      </c>
      <c r="B87">
        <v>611</v>
      </c>
    </row>
    <row r="88" spans="1:2" x14ac:dyDescent="0.3">
      <c r="A88" s="5" t="s">
        <v>418</v>
      </c>
      <c r="B88">
        <v>972</v>
      </c>
    </row>
    <row r="89" spans="1:2" x14ac:dyDescent="0.3">
      <c r="A89" s="5" t="s">
        <v>299</v>
      </c>
      <c r="B89">
        <v>317</v>
      </c>
    </row>
    <row r="90" spans="1:2" x14ac:dyDescent="0.3">
      <c r="A90" s="5" t="s">
        <v>525</v>
      </c>
      <c r="B90">
        <v>526</v>
      </c>
    </row>
    <row r="91" spans="1:2" x14ac:dyDescent="0.3">
      <c r="A91" s="5" t="s">
        <v>115</v>
      </c>
      <c r="B91">
        <v>280</v>
      </c>
    </row>
    <row r="92" spans="1:2" x14ac:dyDescent="0.3">
      <c r="A92" s="5" t="s">
        <v>363</v>
      </c>
      <c r="B92">
        <v>416</v>
      </c>
    </row>
    <row r="93" spans="1:2" x14ac:dyDescent="0.3">
      <c r="A93" s="5" t="s">
        <v>252</v>
      </c>
      <c r="B93">
        <v>515</v>
      </c>
    </row>
    <row r="94" spans="1:2" x14ac:dyDescent="0.3">
      <c r="A94" s="5" t="s">
        <v>591</v>
      </c>
      <c r="B94">
        <v>414</v>
      </c>
    </row>
    <row r="95" spans="1:2" x14ac:dyDescent="0.3">
      <c r="A95" s="5" t="s">
        <v>64</v>
      </c>
      <c r="B95">
        <v>476</v>
      </c>
    </row>
    <row r="96" spans="1:2" x14ac:dyDescent="0.3">
      <c r="A96" s="5" t="s">
        <v>1101</v>
      </c>
      <c r="B96">
        <v>495</v>
      </c>
    </row>
    <row r="97" spans="1:2" x14ac:dyDescent="0.3">
      <c r="A97" s="5" t="s">
        <v>232</v>
      </c>
      <c r="B97">
        <v>425</v>
      </c>
    </row>
    <row r="98" spans="1:2" x14ac:dyDescent="0.3">
      <c r="A98" s="5" t="s">
        <v>563</v>
      </c>
      <c r="B98">
        <v>642</v>
      </c>
    </row>
    <row r="99" spans="1:2" x14ac:dyDescent="0.3">
      <c r="A99" s="5" t="s">
        <v>168</v>
      </c>
      <c r="B99">
        <v>399</v>
      </c>
    </row>
    <row r="100" spans="1:2" x14ac:dyDescent="0.3">
      <c r="A100" s="5" t="s">
        <v>494</v>
      </c>
      <c r="B100">
        <v>302</v>
      </c>
    </row>
    <row r="101" spans="1:2" x14ac:dyDescent="0.3">
      <c r="A101" s="5" t="s">
        <v>204</v>
      </c>
      <c r="B101">
        <v>605</v>
      </c>
    </row>
    <row r="102" spans="1:2" x14ac:dyDescent="0.3">
      <c r="A102" s="5" t="s">
        <v>94</v>
      </c>
      <c r="B102">
        <v>350</v>
      </c>
    </row>
    <row r="103" spans="1:2" x14ac:dyDescent="0.3">
      <c r="A103" s="5" t="s">
        <v>72</v>
      </c>
      <c r="B103">
        <v>345</v>
      </c>
    </row>
    <row r="104" spans="1:2" x14ac:dyDescent="0.3">
      <c r="A104" s="5" t="s">
        <v>657</v>
      </c>
      <c r="B104">
        <v>472</v>
      </c>
    </row>
    <row r="105" spans="1:2" x14ac:dyDescent="0.3">
      <c r="A105" s="5" t="s">
        <v>12</v>
      </c>
      <c r="B105">
        <v>481</v>
      </c>
    </row>
    <row r="106" spans="1:2" x14ac:dyDescent="0.3">
      <c r="A106" s="5" t="s">
        <v>1137</v>
      </c>
      <c r="B106">
        <v>514</v>
      </c>
    </row>
    <row r="107" spans="1:2" x14ac:dyDescent="0.3">
      <c r="A107" s="5" t="s">
        <v>84</v>
      </c>
      <c r="B107">
        <v>639</v>
      </c>
    </row>
    <row r="108" spans="1:2" x14ac:dyDescent="0.3">
      <c r="A108" s="5" t="s">
        <v>390</v>
      </c>
      <c r="B108">
        <v>631</v>
      </c>
    </row>
    <row r="109" spans="1:2" x14ac:dyDescent="0.3">
      <c r="A109" s="5" t="s">
        <v>951</v>
      </c>
      <c r="B109">
        <v>425</v>
      </c>
    </row>
    <row r="110" spans="1:2" x14ac:dyDescent="0.3">
      <c r="A110" s="5" t="s">
        <v>98</v>
      </c>
      <c r="B110">
        <v>627</v>
      </c>
    </row>
    <row r="111" spans="1:2" x14ac:dyDescent="0.3">
      <c r="A111" s="5" t="s">
        <v>478</v>
      </c>
      <c r="B111">
        <v>412</v>
      </c>
    </row>
    <row r="112" spans="1:2" x14ac:dyDescent="0.3">
      <c r="A112" s="5" t="s">
        <v>1067</v>
      </c>
      <c r="B112">
        <v>220</v>
      </c>
    </row>
    <row r="113" spans="1:2" x14ac:dyDescent="0.3">
      <c r="A113" s="5" t="s">
        <v>542</v>
      </c>
      <c r="B113">
        <v>435</v>
      </c>
    </row>
    <row r="114" spans="1:2" x14ac:dyDescent="0.3">
      <c r="A114" s="5" t="s">
        <v>595</v>
      </c>
      <c r="B114">
        <v>633</v>
      </c>
    </row>
    <row r="115" spans="1:2" x14ac:dyDescent="0.3">
      <c r="A115" s="5" t="s">
        <v>381</v>
      </c>
      <c r="B115">
        <v>416</v>
      </c>
    </row>
    <row r="116" spans="1:2" x14ac:dyDescent="0.3">
      <c r="A116" s="5" t="s">
        <v>217</v>
      </c>
      <c r="B116">
        <v>626</v>
      </c>
    </row>
    <row r="117" spans="1:2" x14ac:dyDescent="0.3">
      <c r="A117" s="5" t="s">
        <v>451</v>
      </c>
      <c r="B117">
        <v>266</v>
      </c>
    </row>
    <row r="118" spans="1:2" x14ac:dyDescent="0.3">
      <c r="A118" s="5" t="s">
        <v>60</v>
      </c>
      <c r="B118">
        <v>575</v>
      </c>
    </row>
    <row r="119" spans="1:2" x14ac:dyDescent="0.3">
      <c r="A119" s="5" t="s">
        <v>258</v>
      </c>
      <c r="B119">
        <v>637</v>
      </c>
    </row>
    <row r="120" spans="1:2" x14ac:dyDescent="0.3">
      <c r="A120" s="5" t="s">
        <v>1151</v>
      </c>
      <c r="B120">
        <v>332</v>
      </c>
    </row>
    <row r="121" spans="1:2" x14ac:dyDescent="0.3">
      <c r="A121" s="5" t="s">
        <v>588</v>
      </c>
      <c r="B121">
        <v>367</v>
      </c>
    </row>
    <row r="122" spans="1:2" x14ac:dyDescent="0.3">
      <c r="A122" s="5" t="s">
        <v>1093</v>
      </c>
      <c r="B122">
        <v>484</v>
      </c>
    </row>
    <row r="123" spans="1:2" x14ac:dyDescent="0.3">
      <c r="A123" s="5" t="s">
        <v>914</v>
      </c>
      <c r="B123">
        <v>517</v>
      </c>
    </row>
    <row r="124" spans="1:2" x14ac:dyDescent="0.3">
      <c r="A124" s="5" t="s">
        <v>164</v>
      </c>
      <c r="B124">
        <v>477</v>
      </c>
    </row>
    <row r="125" spans="1:2" x14ac:dyDescent="0.3">
      <c r="A125" s="5" t="s">
        <v>2482</v>
      </c>
    </row>
    <row r="126" spans="1:2" x14ac:dyDescent="0.3">
      <c r="A126" s="5" t="s">
        <v>2483</v>
      </c>
      <c r="B126">
        <v>58336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Inventory Sales data</vt:lpstr>
      <vt:lpstr>KPIs</vt:lpstr>
      <vt:lpstr>pivot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palak kotwani</dc:creator>
  <cp:lastModifiedBy>Heena Kotwani</cp:lastModifiedBy>
  <dcterms:created xsi:type="dcterms:W3CDTF">2026-02-10T04:42:49Z</dcterms:created>
  <dcterms:modified xsi:type="dcterms:W3CDTF">2026-03-30T14:07:23Z</dcterms:modified>
</cp:coreProperties>
</file>